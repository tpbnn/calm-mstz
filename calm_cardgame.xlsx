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25 스타\1 calm-mstz\"/>
    </mc:Choice>
  </mc:AlternateContent>
  <xr:revisionPtr revIDLastSave="0" documentId="13_ncr:1_{02BD0E17-B8F0-4036-9B58-65DA237F3F1C}" xr6:coauthVersionLast="47" xr6:coauthVersionMax="47" xr10:uidLastSave="{00000000-0000-0000-0000-000000000000}"/>
  <bookViews>
    <workbookView xWindow="14595" yWindow="32280" windowWidth="29040" windowHeight="17520" activeTab="1" xr2:uid="{B8683B09-5D3E-488A-B30D-2364D42F2975}"/>
  </bookViews>
  <sheets>
    <sheet name="AttackCard" sheetId="2" r:id="rId1"/>
    <sheet name="BuffCard" sheetId="3" r:id="rId2"/>
    <sheet name="EffectCode" sheetId="4" r:id="rId3"/>
    <sheet name="Probability" sheetId="5" r:id="rId4"/>
    <sheet name="GameConfig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" i="4"/>
  <c r="H57" i="2" l="1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" i="3"/>
</calcChain>
</file>

<file path=xl/sharedStrings.xml><?xml version="1.0" encoding="utf-8"?>
<sst xmlns="http://schemas.openxmlformats.org/spreadsheetml/2006/main" count="631" uniqueCount="281">
  <si>
    <t>김윤환</t>
    <phoneticPr fontId="1" type="noConversion"/>
  </si>
  <si>
    <t>주하랑</t>
    <phoneticPr fontId="1" type="noConversion"/>
  </si>
  <si>
    <t>토마토</t>
    <phoneticPr fontId="1" type="noConversion"/>
  </si>
  <si>
    <t>임조이</t>
    <phoneticPr fontId="1" type="noConversion"/>
  </si>
  <si>
    <t>치리</t>
    <phoneticPr fontId="1" type="noConversion"/>
  </si>
  <si>
    <t>진땅콩</t>
    <phoneticPr fontId="1" type="noConversion"/>
  </si>
  <si>
    <t>햇살</t>
    <phoneticPr fontId="1" type="noConversion"/>
  </si>
  <si>
    <t>소주양</t>
    <phoneticPr fontId="1" type="noConversion"/>
  </si>
  <si>
    <t>먼진</t>
    <phoneticPr fontId="1" type="noConversion"/>
  </si>
  <si>
    <t>비타밍</t>
    <phoneticPr fontId="1" type="noConversion"/>
  </si>
  <si>
    <t>지두두</t>
    <phoneticPr fontId="1" type="noConversion"/>
  </si>
  <si>
    <t>아리송이</t>
    <phoneticPr fontId="1" type="noConversion"/>
  </si>
  <si>
    <t>찌킹</t>
    <phoneticPr fontId="1" type="noConversion"/>
  </si>
  <si>
    <t>낭니</t>
    <phoneticPr fontId="1" type="noConversion"/>
  </si>
  <si>
    <t>Common</t>
  </si>
  <si>
    <t>Common</t>
    <phoneticPr fontId="1" type="noConversion"/>
  </si>
  <si>
    <t>Uncommon</t>
  </si>
  <si>
    <t>Uncommon</t>
    <phoneticPr fontId="1" type="noConversion"/>
  </si>
  <si>
    <t>Rare</t>
  </si>
  <si>
    <t>Rare</t>
    <phoneticPr fontId="1" type="noConversion"/>
  </si>
  <si>
    <t>스팀팩</t>
  </si>
  <si>
    <t>힐</t>
  </si>
  <si>
    <t>HP +15</t>
  </si>
  <si>
    <t>디펜시브 매트릭스</t>
  </si>
  <si>
    <t>EMP</t>
  </si>
  <si>
    <t>락다운</t>
  </si>
  <si>
    <t>사이오닉 스톰</t>
  </si>
  <si>
    <t>피드백</t>
  </si>
  <si>
    <t>다크 스웜</t>
  </si>
  <si>
    <t>버로우</t>
  </si>
  <si>
    <t>모든 피해 무효</t>
  </si>
  <si>
    <t>아드레날린</t>
  </si>
  <si>
    <t>공격력 2배</t>
  </si>
  <si>
    <t>브루들링</t>
  </si>
  <si>
    <t>야마토포</t>
  </si>
  <si>
    <t>스테이시스 필드</t>
  </si>
  <si>
    <t>Terran Theme</t>
  </si>
  <si>
    <t>Zerg Theme</t>
  </si>
  <si>
    <t>Protoss Theme</t>
  </si>
  <si>
    <t>핵 공격</t>
  </si>
  <si>
    <t>마인드 컨트롤</t>
  </si>
  <si>
    <t>플레이그</t>
  </si>
  <si>
    <t>컨슘</t>
  </si>
  <si>
    <t>스파이더마인</t>
  </si>
  <si>
    <t>마엘스트롬</t>
  </si>
  <si>
    <t>다음 턴의 상대 버프 카드를 무효화합니다.</t>
    <phoneticPr fontId="1" type="noConversion"/>
  </si>
  <si>
    <t>설명</t>
  </si>
  <si>
    <t>SuperRare</t>
    <phoneticPr fontId="1" type="noConversion"/>
  </si>
  <si>
    <t>ATK_UP</t>
  </si>
  <si>
    <t>이번 턴 승리 시 공격력 +10</t>
  </si>
  <si>
    <t>DAMAGE_REDUCE</t>
  </si>
  <si>
    <t>모든 피해 10 감소</t>
  </si>
  <si>
    <t>NULLIFY_ALL</t>
  </si>
  <si>
    <t>상대 버프 전체 무효</t>
  </si>
  <si>
    <t>NEXT_BUFF_NULLIFY</t>
  </si>
  <si>
    <t>다음 슬롯 버프 무효</t>
  </si>
  <si>
    <t>BONUS_DAMAGE</t>
  </si>
  <si>
    <t>추가 피해 15</t>
  </si>
  <si>
    <t>COPY_BUFF</t>
  </si>
  <si>
    <t>상대 버프 효과 복사</t>
  </si>
  <si>
    <t>IMMUNE_ATTACK</t>
  </si>
  <si>
    <t>공격 피해 무효</t>
  </si>
  <si>
    <t>IMMUNE_ALL</t>
  </si>
  <si>
    <t>ATK_X2</t>
  </si>
  <si>
    <t>REMOVE_BUFF</t>
  </si>
  <si>
    <t>버프 1장 제거</t>
  </si>
  <si>
    <t>REFLECT_ATTACK</t>
  </si>
  <si>
    <t>공격력만큼 피해</t>
  </si>
  <si>
    <t>추가 피해 30</t>
  </si>
  <si>
    <t>SKIP_NEXT_SLOT</t>
  </si>
  <si>
    <t>다음 슬롯 생략</t>
  </si>
  <si>
    <t>RANDOM_DOUBLE_HALF</t>
  </si>
  <si>
    <t>공격력 2배 또는 절반</t>
  </si>
  <si>
    <t>ROCK_BUFF</t>
  </si>
  <si>
    <t>바위 공격력 +5</t>
  </si>
  <si>
    <t>SCISSOR_BUFF</t>
  </si>
  <si>
    <t>가위 공격력 +5</t>
  </si>
  <si>
    <t>PAPER_BUFF</t>
  </si>
  <si>
    <t>보 공격력 +5</t>
  </si>
  <si>
    <t>DELAY_DAMAGE</t>
  </si>
  <si>
    <t>다음 승리 후 40 피해</t>
  </si>
  <si>
    <t>HP_PERCENT_DAMAGE</t>
  </si>
  <si>
    <t>현재 HP 20% 감소</t>
  </si>
  <si>
    <t>RPS_REVERSE</t>
  </si>
  <si>
    <t>상성 반전</t>
  </si>
  <si>
    <t>COMBINE_ATTACK</t>
  </si>
  <si>
    <t>두 카드 공격력 합산</t>
  </si>
  <si>
    <t>SCISSOR</t>
  </si>
  <si>
    <t>PAPER</t>
    <phoneticPr fontId="1" type="noConversion"/>
  </si>
  <si>
    <t>공격력 증가</t>
  </si>
  <si>
    <t>O</t>
  </si>
  <si>
    <t>HEAL_HP</t>
  </si>
  <si>
    <t>HP 회복</t>
  </si>
  <si>
    <t>피해 감소</t>
  </si>
  <si>
    <t>X</t>
  </si>
  <si>
    <t>추가 피해</t>
  </si>
  <si>
    <t>상대 버프 복사</t>
  </si>
  <si>
    <t>버프 제거</t>
  </si>
  <si>
    <t>바위 공격력 증가</t>
  </si>
  <si>
    <t>가위 공격력 증가</t>
  </si>
  <si>
    <t>보 공격력 증가</t>
  </si>
  <si>
    <t>지연 피해</t>
  </si>
  <si>
    <t>현재 HP 비례 피해</t>
  </si>
  <si>
    <t>공격력 합산</t>
  </si>
  <si>
    <t>Key</t>
  </si>
  <si>
    <t>Value</t>
  </si>
  <si>
    <t>START_HP</t>
  </si>
  <si>
    <t>FIELD_SLOT</t>
  </si>
  <si>
    <t>MAX_BUFF_SLOT</t>
  </si>
  <si>
    <t>BUFF_SLOT</t>
  </si>
  <si>
    <t>CardNo</t>
  </si>
  <si>
    <t>Name</t>
  </si>
  <si>
    <t>Grade</t>
  </si>
  <si>
    <t>Type</t>
  </si>
  <si>
    <t>Race</t>
  </si>
  <si>
    <t>Image</t>
  </si>
  <si>
    <t>Image</t>
    <phoneticPr fontId="1" type="noConversion"/>
  </si>
  <si>
    <t>CardName</t>
  </si>
  <si>
    <t>EffectCode</t>
  </si>
  <si>
    <t>Value1</t>
  </si>
  <si>
    <t>Value2</t>
  </si>
  <si>
    <t>Description</t>
  </si>
  <si>
    <t>EffectName</t>
  </si>
  <si>
    <t>Category</t>
  </si>
  <si>
    <t>Target</t>
  </si>
  <si>
    <t>Probability</t>
  </si>
  <si>
    <t>MinAtk</t>
    <phoneticPr fontId="1" type="noConversion"/>
  </si>
  <si>
    <t>MaxAtk</t>
    <phoneticPr fontId="1" type="noConversion"/>
  </si>
  <si>
    <t>CardSeries</t>
  </si>
  <si>
    <t>s1</t>
    <phoneticPr fontId="1" type="noConversion"/>
  </si>
  <si>
    <t>ROCK</t>
    <phoneticPr fontId="1" type="noConversion"/>
  </si>
  <si>
    <t>PROTOSS</t>
    <phoneticPr fontId="1" type="noConversion"/>
  </si>
  <si>
    <t>ZERG</t>
    <phoneticPr fontId="1" type="noConversion"/>
  </si>
  <si>
    <t>TERRAN</t>
    <phoneticPr fontId="1" type="noConversion"/>
  </si>
  <si>
    <t>EffectID</t>
  </si>
  <si>
    <t>E001</t>
    <phoneticPr fontId="1" type="noConversion"/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</si>
  <si>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</si>
  <si>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</si>
  <si>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</si>
  <si>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</si>
  <si>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</si>
  <si>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</si>
  <si>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</si>
  <si>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</si>
  <si>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</si>
  <si>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</si>
  <si>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</si>
  <si>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</si>
  <si>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</si>
  <si>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</si>
  <si>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</si>
  <si>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</si>
  <si>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</si>
  <si>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</si>
  <si>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</si>
  <si>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</si>
  <si>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시작 HP</t>
  </si>
  <si>
    <t>MAX_ROUND</t>
  </si>
  <si>
    <t>최대 라운드 수</t>
  </si>
  <si>
    <t>TURN_PER_ROUND</t>
  </si>
  <si>
    <t>한 라운드당 진행 턴 수</t>
  </si>
  <si>
    <t>ATTACK_DRAW</t>
  </si>
  <si>
    <t>라운드 시작 전 드로우할 가위바위보 카드 수</t>
  </si>
  <si>
    <t>BUFF_DRAW</t>
  </si>
  <si>
    <t>라운드 시작 전 드로우할 버프 카드 수</t>
  </si>
  <si>
    <t>가위바위보 카드를 배치할 슬롯 수</t>
  </si>
  <si>
    <t>버프카드를 배치할 수 있는 슬롯 수</t>
  </si>
  <si>
    <t>한 라운드에 실제 배치 가능한 버프카드 수</t>
  </si>
  <si>
    <t>WIN_CONDITION</t>
  </si>
  <si>
    <t>HP_ZERO</t>
  </si>
  <si>
    <t>상대 HP가 0 이하가 되면 즉시 승리</t>
  </si>
  <si>
    <t>FINAL_WIN_CONDITION</t>
  </si>
  <si>
    <t>HIGHER_HP</t>
  </si>
  <si>
    <t>3라운드 종료 후 양쪽 HP가 남아 있으면 HP가 높은 쪽 승리</t>
  </si>
  <si>
    <t>ATTACK</t>
  </si>
  <si>
    <t>DEFENSE</t>
  </si>
  <si>
    <t>CONTROL</t>
  </si>
  <si>
    <t>FIELD</t>
  </si>
  <si>
    <t>SPECIAL</t>
  </si>
  <si>
    <t>현재 적용된 상대 버프 카드를 모두 무효화합니다.</t>
    <phoneticPr fontId="1" type="noConversion"/>
  </si>
  <si>
    <t>이번 턴의 상대 버프 효과를 자신에게 적용합니다.</t>
    <phoneticPr fontId="1" type="noConversion"/>
  </si>
  <si>
    <t>이번 턴에서 내 카드가 가위바위보 승리 시 카드의 공격력이 2배가 됩니다.</t>
    <phoneticPr fontId="1" type="noConversion"/>
  </si>
  <si>
    <t>이번 턴에서 내 카드가 가위바위보 승리 시, 카드의 공격력을 +10 합니다.</t>
    <phoneticPr fontId="1" type="noConversion"/>
  </si>
  <si>
    <t>다음 턴을 진행하지 않고 패스합니다.</t>
    <phoneticPr fontId="1" type="noConversion"/>
  </si>
  <si>
    <t>이번 턴에서 가위바위보를 승리한 카드의 공격력은 두 카드의 공격력의 합이 됩니다.</t>
    <phoneticPr fontId="1" type="noConversion"/>
  </si>
  <si>
    <t>mstz-0001</t>
  </si>
  <si>
    <t>mstz-0002</t>
  </si>
  <si>
    <t>mstz-0003</t>
  </si>
  <si>
    <t>mstz-0004</t>
  </si>
  <si>
    <t>mstz-0005</t>
  </si>
  <si>
    <t>mstz-0006</t>
  </si>
  <si>
    <t>mstz-0007</t>
  </si>
  <si>
    <t>mstz-0008</t>
  </si>
  <si>
    <t>mstz-0009</t>
  </si>
  <si>
    <t>mstz-0010</t>
  </si>
  <si>
    <t>mstz-0011</t>
  </si>
  <si>
    <t>mstz-0012</t>
  </si>
  <si>
    <t>mstz-0013</t>
  </si>
  <si>
    <t>mstz-0014</t>
  </si>
  <si>
    <t>mstz-0015</t>
  </si>
  <si>
    <t>mstz-0016</t>
  </si>
  <si>
    <t>mstz-0017</t>
  </si>
  <si>
    <t>mstz-0018</t>
  </si>
  <si>
    <t>mstz-0019</t>
  </si>
  <si>
    <t>mstz-0020</t>
  </si>
  <si>
    <t>mstz-0021</t>
  </si>
  <si>
    <t>mstz-0022</t>
  </si>
  <si>
    <t>mstz-0023</t>
  </si>
  <si>
    <t>mstz-0024</t>
  </si>
  <si>
    <t>mstz-0025</t>
  </si>
  <si>
    <t>mstz-0026</t>
  </si>
  <si>
    <t>mstz-0027</t>
  </si>
  <si>
    <t>mstz-0028</t>
  </si>
  <si>
    <t>mstz-0029</t>
  </si>
  <si>
    <t>mstz-0030</t>
  </si>
  <si>
    <t>mstz-0031</t>
  </si>
  <si>
    <t>mstz-0032</t>
  </si>
  <si>
    <t>mstz-0033</t>
  </si>
  <si>
    <t>mstz-0034</t>
  </si>
  <si>
    <t>mstz-0035</t>
  </si>
  <si>
    <t>mstz-0036</t>
  </si>
  <si>
    <t>mstz-0037</t>
  </si>
  <si>
    <t>mstz-0038</t>
  </si>
  <si>
    <t>mstz-0039</t>
  </si>
  <si>
    <t>mstz-0040</t>
  </si>
  <si>
    <t>mstz-0041</t>
  </si>
  <si>
    <t>mstz-0042</t>
  </si>
  <si>
    <t>mstz-0043</t>
  </si>
  <si>
    <t>mstz-0044</t>
  </si>
  <si>
    <t>mstz-0045</t>
  </si>
  <si>
    <t>mstz-0046</t>
  </si>
  <si>
    <t>mstz-0047</t>
  </si>
  <si>
    <t>mstz-0048</t>
  </si>
  <si>
    <t>mstz-0049</t>
  </si>
  <si>
    <t>mstz-0050</t>
  </si>
  <si>
    <t>mstz-0051</t>
  </si>
  <si>
    <t>mstz-0052</t>
  </si>
  <si>
    <t>mstz-0053</t>
  </si>
  <si>
    <t>mstz-0054</t>
  </si>
  <si>
    <t>mstz-0055</t>
  </si>
  <si>
    <t>mstz-0056</t>
  </si>
  <si>
    <t>mstz-0057</t>
  </si>
  <si>
    <t>mstz-0058</t>
  </si>
  <si>
    <t>mstz-0059</t>
  </si>
  <si>
    <t>mstz-0060</t>
  </si>
  <si>
    <t>mstz-0061</t>
  </si>
  <si>
    <t>mstz-0062</t>
  </si>
  <si>
    <t>mstz-0063</t>
  </si>
  <si>
    <t>mstz-0064</t>
  </si>
  <si>
    <t>mstz-0065</t>
  </si>
  <si>
    <t>mstz-0066</t>
  </si>
  <si>
    <t>mstz-0067</t>
  </si>
  <si>
    <t>mstz-0068</t>
  </si>
  <si>
    <t>mstz-0069</t>
  </si>
  <si>
    <t>mstz-0070</t>
  </si>
  <si>
    <t>mstz-0071</t>
  </si>
  <si>
    <t>mstz-0075</t>
  </si>
  <si>
    <t>mstz-0076</t>
  </si>
  <si>
    <t>mstz-0077</t>
  </si>
  <si>
    <t>mstz-0078</t>
  </si>
  <si>
    <t>내 HP를 +15 회복합니다.</t>
    <phoneticPr fontId="1" type="noConversion"/>
  </si>
  <si>
    <t>이번 턴의 피해가 -10 감소합니다.</t>
    <phoneticPr fontId="1" type="noConversion"/>
  </si>
  <si>
    <t>카드 공격 외에 +15의 추가 피해를 입힙니다. </t>
    <phoneticPr fontId="1" type="noConversion"/>
  </si>
  <si>
    <t>이번 턴의 상대 카드의 공격을 무효화합니다.</t>
    <phoneticPr fontId="1" type="noConversion"/>
  </si>
  <si>
    <t>이번 턴의 모든 피해가 무효화됩니다.</t>
    <phoneticPr fontId="1" type="noConversion"/>
  </si>
  <si>
    <t>배치된 상대 버프 카드 중 1장을 랜덤으로 제거합니다.</t>
    <phoneticPr fontId="1" type="noConversion"/>
  </si>
  <si>
    <t>상대 카드의 공격력이 내 카드의 공격력만큼 감소합니다.</t>
    <phoneticPr fontId="1" type="noConversion"/>
  </si>
  <si>
    <t>이번 턴에서 내 카드가 가위바위보 승리 시, 카드 공격 외에 +30의 피해를 입힙니다. </t>
    <phoneticPr fontId="1" type="noConversion"/>
  </si>
  <si>
    <t>50%의 확률로 카드의 공격력이 2배로 증가, 또는 공격력이 절반으로 감소합니다.</t>
    <phoneticPr fontId="1" type="noConversion"/>
  </si>
  <si>
    <t>mstz-0072</t>
    <phoneticPr fontId="1" type="noConversion"/>
  </si>
  <si>
    <t>mstz-0073</t>
    <phoneticPr fontId="1" type="noConversion"/>
  </si>
  <si>
    <t>mstz-0074</t>
    <phoneticPr fontId="1" type="noConversion"/>
  </si>
  <si>
    <t>다음 턴에서 가위바위보 승리 시, 그 다음 턴에서 상대의 HP가 -40 감소합니다.</t>
    <phoneticPr fontId="1" type="noConversion"/>
  </si>
  <si>
    <t>상대의 HP가 20% 감소합니다.</t>
    <phoneticPr fontId="1" type="noConversion"/>
  </si>
  <si>
    <t>가위바위보 상성을 반전합니다. 이 효과는 계속 유지됩니다.</t>
    <phoneticPr fontId="1" type="noConversion"/>
  </si>
  <si>
    <t>Description2</t>
    <phoneticPr fontId="1" type="noConversion"/>
  </si>
  <si>
    <t>Description</t>
    <phoneticPr fontId="1" type="noConversion"/>
  </si>
  <si>
    <t>모든 [바위] 카드의 공격력이 +5 증가합니다.
이 효과는 계속 유지됩니다.</t>
    <phoneticPr fontId="1" type="noConversion"/>
  </si>
  <si>
    <t>모든 [보] 카드의 공격력이 +5 증가합니다.
이 효과는 계속 유지됩니다.</t>
    <phoneticPr fontId="1" type="noConversion"/>
  </si>
  <si>
    <t>모든 [가위] 카드의 공격력이 +5 증가합니다.
이 효과는 계속 유지됩니다.</t>
    <phoneticPr fontId="1" type="noConversion"/>
  </si>
  <si>
    <t>내 공격력만큼 피해 감소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</si>
</sst>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4DB0-755E-49BF-94BA-89765FE5CC8E}">
  <dimension ref="A1:J67"/>
  <sheetViews>
    <sheetView topLeftCell="A11" workbookViewId="0">
      <selection activeCell="M16" sqref="M16"/>
    </sheetView>
  </sheetViews>
  <sheetFormatPr defaultRowHeight="16.899999999999999" x14ac:dyDescent="0.6"/>
  <cols>
    <col min="1" max="7" width="13.125" customWidth="1"/>
    <col min="8" max="8" width="15.3125" bestFit="1" customWidth="1"/>
    <col min="9" max="9" width="13.125" customWidth="1"/>
    <col min="10" max="10" width="21.375" customWidth="1"/>
  </cols>
  <sheetData>
    <row r="1" spans="1:10" x14ac:dyDescent="0.6">
      <c r="A1" s="3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126</v>
      </c>
      <c r="G1" s="3" t="s">
        <v>127</v>
      </c>
      <c r="H1" s="4" t="s">
        <v>116</v>
      </c>
      <c r="I1" s="4" t="s">
        <v>128</v>
      </c>
    </row>
    <row r="2" spans="1:10" x14ac:dyDescent="0.6">
      <c r="A2" s="1" t="s">
        <v>185</v>
      </c>
      <c r="B2" t="s">
        <v>2</v>
      </c>
      <c r="C2" t="s">
        <v>15</v>
      </c>
      <c r="D2" t="s">
        <v>88</v>
      </c>
      <c r="E2" t="s">
        <v>131</v>
      </c>
      <c r="F2">
        <v>8</v>
      </c>
      <c r="G2">
        <v>14</v>
      </c>
      <c r="H2" t="str">
        <f>A2&amp;".png"</f>
        <v>mstz-0001.png</v>
      </c>
      <c r="I2" t="s">
        <v>129</v>
      </c>
    </row>
    <row r="3" spans="1:10" x14ac:dyDescent="0.6">
      <c r="A3" s="1" t="s">
        <v>186</v>
      </c>
      <c r="B3" t="s">
        <v>3</v>
      </c>
      <c r="C3" t="s">
        <v>15</v>
      </c>
      <c r="D3" t="s">
        <v>87</v>
      </c>
      <c r="E3" t="s">
        <v>132</v>
      </c>
      <c r="F3">
        <v>8</v>
      </c>
      <c r="G3">
        <v>14</v>
      </c>
      <c r="H3" t="str">
        <f t="shared" ref="H3:H57" si="0">A3&amp;".png"</f>
        <v>mstz-0002.png</v>
      </c>
      <c r="I3" t="s">
        <v>129</v>
      </c>
    </row>
    <row r="4" spans="1:10" x14ac:dyDescent="0.6">
      <c r="A4" s="1" t="s">
        <v>187</v>
      </c>
      <c r="B4" t="s">
        <v>4</v>
      </c>
      <c r="C4" t="s">
        <v>15</v>
      </c>
      <c r="D4" t="s">
        <v>87</v>
      </c>
      <c r="E4" t="s">
        <v>132</v>
      </c>
      <c r="F4">
        <v>8</v>
      </c>
      <c r="G4">
        <v>14</v>
      </c>
      <c r="H4" t="str">
        <f t="shared" si="0"/>
        <v>mstz-0003.png</v>
      </c>
      <c r="I4" t="s">
        <v>129</v>
      </c>
    </row>
    <row r="5" spans="1:10" x14ac:dyDescent="0.6">
      <c r="A5" s="1" t="s">
        <v>188</v>
      </c>
      <c r="B5" t="s">
        <v>5</v>
      </c>
      <c r="C5" t="s">
        <v>15</v>
      </c>
      <c r="D5" t="s">
        <v>88</v>
      </c>
      <c r="E5" t="s">
        <v>131</v>
      </c>
      <c r="F5">
        <v>8</v>
      </c>
      <c r="G5">
        <v>14</v>
      </c>
      <c r="H5" t="str">
        <f t="shared" si="0"/>
        <v>mstz-0004.png</v>
      </c>
      <c r="I5" t="s">
        <v>129</v>
      </c>
    </row>
    <row r="6" spans="1:10" x14ac:dyDescent="0.6">
      <c r="A6" s="1" t="s">
        <v>189</v>
      </c>
      <c r="B6" t="s">
        <v>1</v>
      </c>
      <c r="C6" t="s">
        <v>15</v>
      </c>
      <c r="D6" t="s">
        <v>88</v>
      </c>
      <c r="E6" t="s">
        <v>131</v>
      </c>
      <c r="F6">
        <v>8</v>
      </c>
      <c r="G6">
        <v>14</v>
      </c>
      <c r="H6" t="str">
        <f t="shared" si="0"/>
        <v>mstz-0005.png</v>
      </c>
      <c r="I6" t="s">
        <v>129</v>
      </c>
      <c r="J6" s="2"/>
    </row>
    <row r="7" spans="1:10" x14ac:dyDescent="0.6">
      <c r="A7" s="1" t="s">
        <v>190</v>
      </c>
      <c r="B7" t="s">
        <v>6</v>
      </c>
      <c r="C7" t="s">
        <v>15</v>
      </c>
      <c r="D7" t="s">
        <v>130</v>
      </c>
      <c r="E7" t="s">
        <v>133</v>
      </c>
      <c r="F7">
        <v>8</v>
      </c>
      <c r="G7">
        <v>14</v>
      </c>
      <c r="H7" t="str">
        <f t="shared" si="0"/>
        <v>mstz-0006.png</v>
      </c>
      <c r="I7" t="s">
        <v>129</v>
      </c>
      <c r="J7" s="2"/>
    </row>
    <row r="8" spans="1:10" x14ac:dyDescent="0.6">
      <c r="A8" s="1" t="s">
        <v>191</v>
      </c>
      <c r="B8" t="s">
        <v>7</v>
      </c>
      <c r="C8" t="s">
        <v>15</v>
      </c>
      <c r="D8" t="s">
        <v>130</v>
      </c>
      <c r="E8" t="s">
        <v>133</v>
      </c>
      <c r="F8">
        <v>8</v>
      </c>
      <c r="G8">
        <v>14</v>
      </c>
      <c r="H8" t="str">
        <f t="shared" si="0"/>
        <v>mstz-0007.png</v>
      </c>
      <c r="I8" t="s">
        <v>129</v>
      </c>
      <c r="J8" s="2"/>
    </row>
    <row r="9" spans="1:10" x14ac:dyDescent="0.6">
      <c r="A9" s="1" t="s">
        <v>192</v>
      </c>
      <c r="B9" t="s">
        <v>8</v>
      </c>
      <c r="C9" t="s">
        <v>15</v>
      </c>
      <c r="D9" t="s">
        <v>87</v>
      </c>
      <c r="E9" t="s">
        <v>132</v>
      </c>
      <c r="F9">
        <v>8</v>
      </c>
      <c r="G9">
        <v>14</v>
      </c>
      <c r="H9" t="str">
        <f t="shared" si="0"/>
        <v>mstz-0008.png</v>
      </c>
      <c r="I9" t="s">
        <v>129</v>
      </c>
    </row>
    <row r="10" spans="1:10" x14ac:dyDescent="0.6">
      <c r="A10" s="1" t="s">
        <v>193</v>
      </c>
      <c r="B10" t="s">
        <v>9</v>
      </c>
      <c r="C10" t="s">
        <v>15</v>
      </c>
      <c r="D10" t="s">
        <v>130</v>
      </c>
      <c r="E10" t="s">
        <v>133</v>
      </c>
      <c r="F10">
        <v>8</v>
      </c>
      <c r="G10">
        <v>14</v>
      </c>
      <c r="H10" t="str">
        <f t="shared" si="0"/>
        <v>mstz-0009.png</v>
      </c>
      <c r="I10" t="s">
        <v>129</v>
      </c>
    </row>
    <row r="11" spans="1:10" x14ac:dyDescent="0.6">
      <c r="A11" s="1" t="s">
        <v>194</v>
      </c>
      <c r="B11" t="s">
        <v>10</v>
      </c>
      <c r="C11" t="s">
        <v>15</v>
      </c>
      <c r="D11" t="s">
        <v>130</v>
      </c>
      <c r="E11" t="s">
        <v>133</v>
      </c>
      <c r="F11">
        <v>8</v>
      </c>
      <c r="G11">
        <v>14</v>
      </c>
      <c r="H11" t="str">
        <f t="shared" si="0"/>
        <v>mstz-0010.png</v>
      </c>
      <c r="I11" t="s">
        <v>129</v>
      </c>
    </row>
    <row r="12" spans="1:10" x14ac:dyDescent="0.6">
      <c r="A12" s="1" t="s">
        <v>195</v>
      </c>
      <c r="B12" t="s">
        <v>11</v>
      </c>
      <c r="C12" t="s">
        <v>15</v>
      </c>
      <c r="D12" t="s">
        <v>88</v>
      </c>
      <c r="E12" t="s">
        <v>131</v>
      </c>
      <c r="F12">
        <v>8</v>
      </c>
      <c r="G12">
        <v>14</v>
      </c>
      <c r="H12" t="str">
        <f t="shared" si="0"/>
        <v>mstz-0011.png</v>
      </c>
      <c r="I12" t="s">
        <v>129</v>
      </c>
    </row>
    <row r="13" spans="1:10" x14ac:dyDescent="0.6">
      <c r="A13" s="1" t="s">
        <v>196</v>
      </c>
      <c r="B13" t="s">
        <v>12</v>
      </c>
      <c r="C13" t="s">
        <v>15</v>
      </c>
      <c r="D13" t="s">
        <v>87</v>
      </c>
      <c r="E13" t="s">
        <v>132</v>
      </c>
      <c r="F13">
        <v>8</v>
      </c>
      <c r="G13">
        <v>14</v>
      </c>
      <c r="H13" t="str">
        <f t="shared" si="0"/>
        <v>mstz-0012.png</v>
      </c>
      <c r="I13" t="s">
        <v>129</v>
      </c>
    </row>
    <row r="14" spans="1:10" x14ac:dyDescent="0.6">
      <c r="A14" s="1" t="s">
        <v>197</v>
      </c>
      <c r="B14" t="s">
        <v>13</v>
      </c>
      <c r="C14" t="s">
        <v>15</v>
      </c>
      <c r="D14" t="s">
        <v>87</v>
      </c>
      <c r="E14" t="s">
        <v>132</v>
      </c>
      <c r="F14">
        <v>8</v>
      </c>
      <c r="G14">
        <v>14</v>
      </c>
      <c r="H14" t="str">
        <f t="shared" si="0"/>
        <v>mstz-0013.png</v>
      </c>
      <c r="I14" t="s">
        <v>129</v>
      </c>
    </row>
    <row r="15" spans="1:10" x14ac:dyDescent="0.6">
      <c r="A15" s="1" t="s">
        <v>198</v>
      </c>
      <c r="B15" t="s">
        <v>2</v>
      </c>
      <c r="C15" t="s">
        <v>17</v>
      </c>
      <c r="D15" t="s">
        <v>88</v>
      </c>
      <c r="E15" t="s">
        <v>131</v>
      </c>
      <c r="F15">
        <v>12</v>
      </c>
      <c r="G15">
        <v>19</v>
      </c>
      <c r="H15" t="str">
        <f t="shared" si="0"/>
        <v>mstz-0014.png</v>
      </c>
      <c r="I15" t="s">
        <v>129</v>
      </c>
    </row>
    <row r="16" spans="1:10" x14ac:dyDescent="0.6">
      <c r="A16" s="1" t="s">
        <v>199</v>
      </c>
      <c r="B16" t="s">
        <v>3</v>
      </c>
      <c r="C16" t="s">
        <v>17</v>
      </c>
      <c r="D16" t="s">
        <v>87</v>
      </c>
      <c r="E16" t="s">
        <v>132</v>
      </c>
      <c r="F16">
        <v>12</v>
      </c>
      <c r="G16">
        <v>19</v>
      </c>
      <c r="H16" t="str">
        <f t="shared" si="0"/>
        <v>mstz-0015.png</v>
      </c>
      <c r="I16" t="s">
        <v>129</v>
      </c>
    </row>
    <row r="17" spans="1:9" x14ac:dyDescent="0.6">
      <c r="A17" s="1" t="s">
        <v>200</v>
      </c>
      <c r="B17" t="s">
        <v>4</v>
      </c>
      <c r="C17" t="s">
        <v>17</v>
      </c>
      <c r="D17" t="s">
        <v>87</v>
      </c>
      <c r="E17" t="s">
        <v>132</v>
      </c>
      <c r="F17">
        <v>12</v>
      </c>
      <c r="G17">
        <v>19</v>
      </c>
      <c r="H17" t="str">
        <f t="shared" si="0"/>
        <v>mstz-0016.png</v>
      </c>
      <c r="I17" t="s">
        <v>129</v>
      </c>
    </row>
    <row r="18" spans="1:9" x14ac:dyDescent="0.6">
      <c r="A18" s="1" t="s">
        <v>201</v>
      </c>
      <c r="B18" t="s">
        <v>5</v>
      </c>
      <c r="C18" t="s">
        <v>17</v>
      </c>
      <c r="D18" t="s">
        <v>88</v>
      </c>
      <c r="E18" t="s">
        <v>131</v>
      </c>
      <c r="F18">
        <v>12</v>
      </c>
      <c r="G18">
        <v>19</v>
      </c>
      <c r="H18" t="str">
        <f t="shared" si="0"/>
        <v>mstz-0017.png</v>
      </c>
      <c r="I18" t="s">
        <v>129</v>
      </c>
    </row>
    <row r="19" spans="1:9" x14ac:dyDescent="0.6">
      <c r="A19" s="1" t="s">
        <v>202</v>
      </c>
      <c r="B19" t="s">
        <v>1</v>
      </c>
      <c r="C19" t="s">
        <v>17</v>
      </c>
      <c r="D19" t="s">
        <v>88</v>
      </c>
      <c r="E19" t="s">
        <v>131</v>
      </c>
      <c r="F19">
        <v>12</v>
      </c>
      <c r="G19">
        <v>19</v>
      </c>
      <c r="H19" t="str">
        <f t="shared" si="0"/>
        <v>mstz-0018.png</v>
      </c>
      <c r="I19" t="s">
        <v>129</v>
      </c>
    </row>
    <row r="20" spans="1:9" x14ac:dyDescent="0.6">
      <c r="A20" s="1" t="s">
        <v>203</v>
      </c>
      <c r="B20" t="s">
        <v>6</v>
      </c>
      <c r="C20" t="s">
        <v>17</v>
      </c>
      <c r="D20" t="s">
        <v>130</v>
      </c>
      <c r="E20" t="s">
        <v>133</v>
      </c>
      <c r="F20">
        <v>12</v>
      </c>
      <c r="G20">
        <v>19</v>
      </c>
      <c r="H20" t="str">
        <f t="shared" si="0"/>
        <v>mstz-0019.png</v>
      </c>
      <c r="I20" t="s">
        <v>129</v>
      </c>
    </row>
    <row r="21" spans="1:9" x14ac:dyDescent="0.6">
      <c r="A21" s="1" t="s">
        <v>204</v>
      </c>
      <c r="B21" t="s">
        <v>7</v>
      </c>
      <c r="C21" t="s">
        <v>17</v>
      </c>
      <c r="D21" t="s">
        <v>130</v>
      </c>
      <c r="E21" t="s">
        <v>133</v>
      </c>
      <c r="F21">
        <v>12</v>
      </c>
      <c r="G21">
        <v>19</v>
      </c>
      <c r="H21" t="str">
        <f t="shared" si="0"/>
        <v>mstz-0020.png</v>
      </c>
      <c r="I21" t="s">
        <v>129</v>
      </c>
    </row>
    <row r="22" spans="1:9" x14ac:dyDescent="0.6">
      <c r="A22" s="1" t="s">
        <v>205</v>
      </c>
      <c r="B22" t="s">
        <v>8</v>
      </c>
      <c r="C22" t="s">
        <v>17</v>
      </c>
      <c r="D22" t="s">
        <v>87</v>
      </c>
      <c r="E22" t="s">
        <v>132</v>
      </c>
      <c r="F22">
        <v>12</v>
      </c>
      <c r="G22">
        <v>19</v>
      </c>
      <c r="H22" t="str">
        <f t="shared" si="0"/>
        <v>mstz-0021.png</v>
      </c>
      <c r="I22" t="s">
        <v>129</v>
      </c>
    </row>
    <row r="23" spans="1:9" x14ac:dyDescent="0.6">
      <c r="A23" s="1" t="s">
        <v>206</v>
      </c>
      <c r="B23" t="s">
        <v>9</v>
      </c>
      <c r="C23" t="s">
        <v>17</v>
      </c>
      <c r="D23" t="s">
        <v>130</v>
      </c>
      <c r="E23" t="s">
        <v>133</v>
      </c>
      <c r="F23">
        <v>12</v>
      </c>
      <c r="G23">
        <v>19</v>
      </c>
      <c r="H23" t="str">
        <f t="shared" si="0"/>
        <v>mstz-0022.png</v>
      </c>
      <c r="I23" t="s">
        <v>129</v>
      </c>
    </row>
    <row r="24" spans="1:9" x14ac:dyDescent="0.6">
      <c r="A24" s="1" t="s">
        <v>207</v>
      </c>
      <c r="B24" t="s">
        <v>10</v>
      </c>
      <c r="C24" t="s">
        <v>17</v>
      </c>
      <c r="D24" t="s">
        <v>130</v>
      </c>
      <c r="E24" t="s">
        <v>133</v>
      </c>
      <c r="F24">
        <v>12</v>
      </c>
      <c r="G24">
        <v>19</v>
      </c>
      <c r="H24" t="str">
        <f t="shared" si="0"/>
        <v>mstz-0023.png</v>
      </c>
      <c r="I24" t="s">
        <v>129</v>
      </c>
    </row>
    <row r="25" spans="1:9" x14ac:dyDescent="0.6">
      <c r="A25" s="1" t="s">
        <v>208</v>
      </c>
      <c r="B25" t="s">
        <v>11</v>
      </c>
      <c r="C25" t="s">
        <v>17</v>
      </c>
      <c r="D25" t="s">
        <v>88</v>
      </c>
      <c r="E25" t="s">
        <v>131</v>
      </c>
      <c r="F25">
        <v>12</v>
      </c>
      <c r="G25">
        <v>19</v>
      </c>
      <c r="H25" t="str">
        <f t="shared" si="0"/>
        <v>mstz-0024.png</v>
      </c>
      <c r="I25" t="s">
        <v>129</v>
      </c>
    </row>
    <row r="26" spans="1:9" x14ac:dyDescent="0.6">
      <c r="A26" s="1" t="s">
        <v>209</v>
      </c>
      <c r="B26" t="s">
        <v>12</v>
      </c>
      <c r="C26" t="s">
        <v>17</v>
      </c>
      <c r="D26" t="s">
        <v>87</v>
      </c>
      <c r="E26" t="s">
        <v>132</v>
      </c>
      <c r="F26">
        <v>12</v>
      </c>
      <c r="G26">
        <v>19</v>
      </c>
      <c r="H26" t="str">
        <f t="shared" si="0"/>
        <v>mstz-0025.png</v>
      </c>
      <c r="I26" t="s">
        <v>129</v>
      </c>
    </row>
    <row r="27" spans="1:9" x14ac:dyDescent="0.6">
      <c r="A27" s="1" t="s">
        <v>210</v>
      </c>
      <c r="B27" t="s">
        <v>13</v>
      </c>
      <c r="C27" t="s">
        <v>17</v>
      </c>
      <c r="D27" t="s">
        <v>87</v>
      </c>
      <c r="E27" t="s">
        <v>132</v>
      </c>
      <c r="F27">
        <v>12</v>
      </c>
      <c r="G27">
        <v>19</v>
      </c>
      <c r="H27" t="str">
        <f t="shared" si="0"/>
        <v>mstz-0026.png</v>
      </c>
      <c r="I27" t="s">
        <v>129</v>
      </c>
    </row>
    <row r="28" spans="1:9" x14ac:dyDescent="0.6">
      <c r="A28" s="1" t="s">
        <v>211</v>
      </c>
      <c r="B28" t="s">
        <v>2</v>
      </c>
      <c r="C28" t="s">
        <v>19</v>
      </c>
      <c r="D28" t="s">
        <v>88</v>
      </c>
      <c r="E28" t="s">
        <v>131</v>
      </c>
      <c r="F28">
        <v>15</v>
      </c>
      <c r="G28">
        <v>24</v>
      </c>
      <c r="H28" t="str">
        <f t="shared" si="0"/>
        <v>mstz-0027.png</v>
      </c>
      <c r="I28" t="s">
        <v>129</v>
      </c>
    </row>
    <row r="29" spans="1:9" x14ac:dyDescent="0.6">
      <c r="A29" s="1" t="s">
        <v>212</v>
      </c>
      <c r="B29" t="s">
        <v>3</v>
      </c>
      <c r="C29" t="s">
        <v>19</v>
      </c>
      <c r="D29" t="s">
        <v>87</v>
      </c>
      <c r="E29" t="s">
        <v>132</v>
      </c>
      <c r="F29">
        <v>15</v>
      </c>
      <c r="G29">
        <v>24</v>
      </c>
      <c r="H29" t="str">
        <f t="shared" si="0"/>
        <v>mstz-0028.png</v>
      </c>
      <c r="I29" t="s">
        <v>129</v>
      </c>
    </row>
    <row r="30" spans="1:9" x14ac:dyDescent="0.6">
      <c r="A30" s="1" t="s">
        <v>213</v>
      </c>
      <c r="B30" t="s">
        <v>4</v>
      </c>
      <c r="C30" t="s">
        <v>19</v>
      </c>
      <c r="D30" t="s">
        <v>87</v>
      </c>
      <c r="E30" t="s">
        <v>132</v>
      </c>
      <c r="F30">
        <v>15</v>
      </c>
      <c r="G30">
        <v>24</v>
      </c>
      <c r="H30" t="str">
        <f t="shared" si="0"/>
        <v>mstz-0029.png</v>
      </c>
      <c r="I30" t="s">
        <v>129</v>
      </c>
    </row>
    <row r="31" spans="1:9" x14ac:dyDescent="0.6">
      <c r="A31" s="1" t="s">
        <v>214</v>
      </c>
      <c r="B31" t="s">
        <v>5</v>
      </c>
      <c r="C31" t="s">
        <v>19</v>
      </c>
      <c r="D31" t="s">
        <v>88</v>
      </c>
      <c r="E31" t="s">
        <v>131</v>
      </c>
      <c r="F31">
        <v>15</v>
      </c>
      <c r="G31">
        <v>24</v>
      </c>
      <c r="H31" t="str">
        <f t="shared" si="0"/>
        <v>mstz-0030.png</v>
      </c>
      <c r="I31" t="s">
        <v>129</v>
      </c>
    </row>
    <row r="32" spans="1:9" x14ac:dyDescent="0.6">
      <c r="A32" s="1" t="s">
        <v>215</v>
      </c>
      <c r="B32" t="s">
        <v>1</v>
      </c>
      <c r="C32" t="s">
        <v>19</v>
      </c>
      <c r="D32" t="s">
        <v>88</v>
      </c>
      <c r="E32" t="s">
        <v>131</v>
      </c>
      <c r="F32">
        <v>15</v>
      </c>
      <c r="G32">
        <v>24</v>
      </c>
      <c r="H32" t="str">
        <f t="shared" si="0"/>
        <v>mstz-0031.png</v>
      </c>
      <c r="I32" t="s">
        <v>129</v>
      </c>
    </row>
    <row r="33" spans="1:9" x14ac:dyDescent="0.6">
      <c r="A33" s="1" t="s">
        <v>216</v>
      </c>
      <c r="B33" t="s">
        <v>6</v>
      </c>
      <c r="C33" t="s">
        <v>19</v>
      </c>
      <c r="D33" t="s">
        <v>130</v>
      </c>
      <c r="E33" t="s">
        <v>133</v>
      </c>
      <c r="F33">
        <v>15</v>
      </c>
      <c r="G33">
        <v>24</v>
      </c>
      <c r="H33" t="str">
        <f t="shared" si="0"/>
        <v>mstz-0032.png</v>
      </c>
      <c r="I33" t="s">
        <v>129</v>
      </c>
    </row>
    <row r="34" spans="1:9" x14ac:dyDescent="0.6">
      <c r="A34" s="1" t="s">
        <v>217</v>
      </c>
      <c r="B34" t="s">
        <v>7</v>
      </c>
      <c r="C34" t="s">
        <v>19</v>
      </c>
      <c r="D34" t="s">
        <v>130</v>
      </c>
      <c r="E34" t="s">
        <v>133</v>
      </c>
      <c r="F34">
        <v>15</v>
      </c>
      <c r="G34">
        <v>24</v>
      </c>
      <c r="H34" t="str">
        <f t="shared" si="0"/>
        <v>mstz-0033.png</v>
      </c>
      <c r="I34" t="s">
        <v>129</v>
      </c>
    </row>
    <row r="35" spans="1:9" x14ac:dyDescent="0.6">
      <c r="A35" s="1" t="s">
        <v>218</v>
      </c>
      <c r="B35" t="s">
        <v>8</v>
      </c>
      <c r="C35" t="s">
        <v>19</v>
      </c>
      <c r="D35" t="s">
        <v>87</v>
      </c>
      <c r="E35" t="s">
        <v>132</v>
      </c>
      <c r="F35">
        <v>15</v>
      </c>
      <c r="G35">
        <v>24</v>
      </c>
      <c r="H35" t="str">
        <f t="shared" si="0"/>
        <v>mstz-0034.png</v>
      </c>
      <c r="I35" t="s">
        <v>129</v>
      </c>
    </row>
    <row r="36" spans="1:9" x14ac:dyDescent="0.6">
      <c r="A36" s="1" t="s">
        <v>219</v>
      </c>
      <c r="B36" t="s">
        <v>9</v>
      </c>
      <c r="C36" t="s">
        <v>19</v>
      </c>
      <c r="D36" t="s">
        <v>130</v>
      </c>
      <c r="E36" t="s">
        <v>133</v>
      </c>
      <c r="F36">
        <v>15</v>
      </c>
      <c r="G36">
        <v>24</v>
      </c>
      <c r="H36" t="str">
        <f t="shared" si="0"/>
        <v>mstz-0035.png</v>
      </c>
      <c r="I36" t="s">
        <v>129</v>
      </c>
    </row>
    <row r="37" spans="1:9" x14ac:dyDescent="0.6">
      <c r="A37" s="1" t="s">
        <v>220</v>
      </c>
      <c r="B37" t="s">
        <v>10</v>
      </c>
      <c r="C37" t="s">
        <v>19</v>
      </c>
      <c r="D37" t="s">
        <v>130</v>
      </c>
      <c r="E37" t="s">
        <v>133</v>
      </c>
      <c r="F37">
        <v>15</v>
      </c>
      <c r="G37">
        <v>24</v>
      </c>
      <c r="H37" t="str">
        <f t="shared" si="0"/>
        <v>mstz-0036.png</v>
      </c>
      <c r="I37" t="s">
        <v>129</v>
      </c>
    </row>
    <row r="38" spans="1:9" x14ac:dyDescent="0.6">
      <c r="A38" s="1" t="s">
        <v>221</v>
      </c>
      <c r="B38" t="s">
        <v>11</v>
      </c>
      <c r="C38" t="s">
        <v>19</v>
      </c>
      <c r="D38" t="s">
        <v>88</v>
      </c>
      <c r="E38" t="s">
        <v>131</v>
      </c>
      <c r="F38">
        <v>15</v>
      </c>
      <c r="G38">
        <v>24</v>
      </c>
      <c r="H38" t="str">
        <f t="shared" si="0"/>
        <v>mstz-0037.png</v>
      </c>
      <c r="I38" t="s">
        <v>129</v>
      </c>
    </row>
    <row r="39" spans="1:9" x14ac:dyDescent="0.6">
      <c r="A39" s="1" t="s">
        <v>222</v>
      </c>
      <c r="B39" t="s">
        <v>12</v>
      </c>
      <c r="C39" t="s">
        <v>19</v>
      </c>
      <c r="D39" t="s">
        <v>87</v>
      </c>
      <c r="E39" t="s">
        <v>132</v>
      </c>
      <c r="F39">
        <v>15</v>
      </c>
      <c r="G39">
        <v>24</v>
      </c>
      <c r="H39" t="str">
        <f t="shared" si="0"/>
        <v>mstz-0038.png</v>
      </c>
      <c r="I39" t="s">
        <v>129</v>
      </c>
    </row>
    <row r="40" spans="1:9" x14ac:dyDescent="0.6">
      <c r="A40" s="1" t="s">
        <v>223</v>
      </c>
      <c r="B40" t="s">
        <v>13</v>
      </c>
      <c r="C40" t="s">
        <v>19</v>
      </c>
      <c r="D40" t="s">
        <v>87</v>
      </c>
      <c r="E40" t="s">
        <v>132</v>
      </c>
      <c r="F40">
        <v>15</v>
      </c>
      <c r="G40">
        <v>24</v>
      </c>
      <c r="H40" t="str">
        <f t="shared" si="0"/>
        <v>mstz-0039.png</v>
      </c>
      <c r="I40" t="s">
        <v>129</v>
      </c>
    </row>
    <row r="41" spans="1:9" x14ac:dyDescent="0.6">
      <c r="A41" s="1" t="s">
        <v>224</v>
      </c>
      <c r="B41" t="s">
        <v>2</v>
      </c>
      <c r="C41" t="s">
        <v>47</v>
      </c>
      <c r="D41" t="s">
        <v>88</v>
      </c>
      <c r="E41" t="s">
        <v>131</v>
      </c>
      <c r="F41">
        <v>23</v>
      </c>
      <c r="G41">
        <v>30</v>
      </c>
      <c r="H41" t="str">
        <f t="shared" si="0"/>
        <v>mstz-0040.png</v>
      </c>
      <c r="I41" t="s">
        <v>129</v>
      </c>
    </row>
    <row r="42" spans="1:9" x14ac:dyDescent="0.6">
      <c r="A42" s="1" t="s">
        <v>225</v>
      </c>
      <c r="B42" t="s">
        <v>3</v>
      </c>
      <c r="C42" t="s">
        <v>47</v>
      </c>
      <c r="D42" t="s">
        <v>87</v>
      </c>
      <c r="E42" t="s">
        <v>132</v>
      </c>
      <c r="F42">
        <v>23</v>
      </c>
      <c r="G42">
        <v>30</v>
      </c>
      <c r="H42" t="str">
        <f t="shared" si="0"/>
        <v>mstz-0041.png</v>
      </c>
      <c r="I42" t="s">
        <v>129</v>
      </c>
    </row>
    <row r="43" spans="1:9" x14ac:dyDescent="0.6">
      <c r="A43" s="1" t="s">
        <v>226</v>
      </c>
      <c r="B43" t="s">
        <v>4</v>
      </c>
      <c r="C43" t="s">
        <v>47</v>
      </c>
      <c r="D43" t="s">
        <v>87</v>
      </c>
      <c r="E43" t="s">
        <v>132</v>
      </c>
      <c r="F43">
        <v>23</v>
      </c>
      <c r="G43">
        <v>30</v>
      </c>
      <c r="H43" t="str">
        <f t="shared" si="0"/>
        <v>mstz-0042.png</v>
      </c>
      <c r="I43" t="s">
        <v>129</v>
      </c>
    </row>
    <row r="44" spans="1:9" x14ac:dyDescent="0.6">
      <c r="A44" s="1" t="s">
        <v>227</v>
      </c>
      <c r="B44" t="s">
        <v>5</v>
      </c>
      <c r="C44" t="s">
        <v>47</v>
      </c>
      <c r="D44" t="s">
        <v>88</v>
      </c>
      <c r="E44" t="s">
        <v>131</v>
      </c>
      <c r="F44">
        <v>23</v>
      </c>
      <c r="G44">
        <v>30</v>
      </c>
      <c r="H44" t="str">
        <f t="shared" si="0"/>
        <v>mstz-0043.png</v>
      </c>
      <c r="I44" t="s">
        <v>129</v>
      </c>
    </row>
    <row r="45" spans="1:9" x14ac:dyDescent="0.6">
      <c r="A45" s="1" t="s">
        <v>228</v>
      </c>
      <c r="B45" t="s">
        <v>1</v>
      </c>
      <c r="C45" t="s">
        <v>47</v>
      </c>
      <c r="D45" t="s">
        <v>88</v>
      </c>
      <c r="E45" t="s">
        <v>131</v>
      </c>
      <c r="F45">
        <v>23</v>
      </c>
      <c r="G45">
        <v>30</v>
      </c>
      <c r="H45" t="str">
        <f t="shared" si="0"/>
        <v>mstz-0044.png</v>
      </c>
      <c r="I45" t="s">
        <v>129</v>
      </c>
    </row>
    <row r="46" spans="1:9" x14ac:dyDescent="0.6">
      <c r="A46" s="1" t="s">
        <v>229</v>
      </c>
      <c r="B46" t="s">
        <v>6</v>
      </c>
      <c r="C46" t="s">
        <v>47</v>
      </c>
      <c r="D46" t="s">
        <v>130</v>
      </c>
      <c r="E46" t="s">
        <v>133</v>
      </c>
      <c r="F46">
        <v>23</v>
      </c>
      <c r="G46">
        <v>30</v>
      </c>
      <c r="H46" t="str">
        <f t="shared" si="0"/>
        <v>mstz-0045.png</v>
      </c>
      <c r="I46" t="s">
        <v>129</v>
      </c>
    </row>
    <row r="47" spans="1:9" x14ac:dyDescent="0.6">
      <c r="A47" s="1" t="s">
        <v>230</v>
      </c>
      <c r="B47" t="s">
        <v>7</v>
      </c>
      <c r="C47" t="s">
        <v>47</v>
      </c>
      <c r="D47" t="s">
        <v>130</v>
      </c>
      <c r="E47" t="s">
        <v>133</v>
      </c>
      <c r="F47">
        <v>23</v>
      </c>
      <c r="G47">
        <v>30</v>
      </c>
      <c r="H47" t="str">
        <f t="shared" si="0"/>
        <v>mstz-0046.png</v>
      </c>
      <c r="I47" t="s">
        <v>129</v>
      </c>
    </row>
    <row r="48" spans="1:9" x14ac:dyDescent="0.6">
      <c r="A48" s="1" t="s">
        <v>231</v>
      </c>
      <c r="B48" t="s">
        <v>8</v>
      </c>
      <c r="C48" t="s">
        <v>47</v>
      </c>
      <c r="D48" t="s">
        <v>87</v>
      </c>
      <c r="E48" t="s">
        <v>132</v>
      </c>
      <c r="F48">
        <v>23</v>
      </c>
      <c r="G48">
        <v>30</v>
      </c>
      <c r="H48" t="str">
        <f t="shared" si="0"/>
        <v>mstz-0047.png</v>
      </c>
      <c r="I48" t="s">
        <v>129</v>
      </c>
    </row>
    <row r="49" spans="1:9" x14ac:dyDescent="0.6">
      <c r="A49" s="1" t="s">
        <v>232</v>
      </c>
      <c r="B49" t="s">
        <v>9</v>
      </c>
      <c r="C49" t="s">
        <v>47</v>
      </c>
      <c r="D49" t="s">
        <v>130</v>
      </c>
      <c r="E49" t="s">
        <v>133</v>
      </c>
      <c r="F49">
        <v>23</v>
      </c>
      <c r="G49">
        <v>30</v>
      </c>
      <c r="H49" t="str">
        <f t="shared" si="0"/>
        <v>mstz-0048.png</v>
      </c>
      <c r="I49" t="s">
        <v>129</v>
      </c>
    </row>
    <row r="50" spans="1:9" x14ac:dyDescent="0.6">
      <c r="A50" s="1" t="s">
        <v>233</v>
      </c>
      <c r="B50" t="s">
        <v>10</v>
      </c>
      <c r="C50" t="s">
        <v>47</v>
      </c>
      <c r="D50" t="s">
        <v>130</v>
      </c>
      <c r="E50" t="s">
        <v>133</v>
      </c>
      <c r="F50">
        <v>23</v>
      </c>
      <c r="G50">
        <v>30</v>
      </c>
      <c r="H50" t="str">
        <f t="shared" si="0"/>
        <v>mstz-0049.png</v>
      </c>
      <c r="I50" t="s">
        <v>129</v>
      </c>
    </row>
    <row r="51" spans="1:9" x14ac:dyDescent="0.6">
      <c r="A51" s="1" t="s">
        <v>234</v>
      </c>
      <c r="B51" t="s">
        <v>11</v>
      </c>
      <c r="C51" t="s">
        <v>47</v>
      </c>
      <c r="D51" t="s">
        <v>88</v>
      </c>
      <c r="E51" t="s">
        <v>131</v>
      </c>
      <c r="F51">
        <v>23</v>
      </c>
      <c r="G51">
        <v>30</v>
      </c>
      <c r="H51" t="str">
        <f t="shared" si="0"/>
        <v>mstz-0050.png</v>
      </c>
      <c r="I51" t="s">
        <v>129</v>
      </c>
    </row>
    <row r="52" spans="1:9" x14ac:dyDescent="0.6">
      <c r="A52" s="1" t="s">
        <v>235</v>
      </c>
      <c r="B52" t="s">
        <v>12</v>
      </c>
      <c r="C52" t="s">
        <v>47</v>
      </c>
      <c r="D52" t="s">
        <v>87</v>
      </c>
      <c r="E52" t="s">
        <v>132</v>
      </c>
      <c r="F52">
        <v>23</v>
      </c>
      <c r="G52">
        <v>30</v>
      </c>
      <c r="H52" t="str">
        <f t="shared" si="0"/>
        <v>mstz-0051.png</v>
      </c>
      <c r="I52" t="s">
        <v>129</v>
      </c>
    </row>
    <row r="53" spans="1:9" x14ac:dyDescent="0.6">
      <c r="A53" s="1" t="s">
        <v>236</v>
      </c>
      <c r="B53" t="s">
        <v>13</v>
      </c>
      <c r="C53" t="s">
        <v>47</v>
      </c>
      <c r="D53" t="s">
        <v>87</v>
      </c>
      <c r="E53" t="s">
        <v>132</v>
      </c>
      <c r="F53">
        <v>23</v>
      </c>
      <c r="G53">
        <v>30</v>
      </c>
      <c r="H53" t="str">
        <f t="shared" si="0"/>
        <v>mstz-0052.png</v>
      </c>
      <c r="I53" t="s">
        <v>129</v>
      </c>
    </row>
    <row r="54" spans="1:9" x14ac:dyDescent="0.6">
      <c r="A54" s="1" t="s">
        <v>237</v>
      </c>
      <c r="B54" t="s">
        <v>0</v>
      </c>
      <c r="C54" t="s">
        <v>15</v>
      </c>
      <c r="D54" t="s">
        <v>87</v>
      </c>
      <c r="E54" t="s">
        <v>132</v>
      </c>
      <c r="F54">
        <v>13</v>
      </c>
      <c r="G54">
        <v>19</v>
      </c>
      <c r="H54" t="str">
        <f t="shared" si="0"/>
        <v>mstz-0053.png</v>
      </c>
      <c r="I54" t="s">
        <v>129</v>
      </c>
    </row>
    <row r="55" spans="1:9" x14ac:dyDescent="0.6">
      <c r="A55" s="1" t="s">
        <v>238</v>
      </c>
      <c r="B55" t="s">
        <v>0</v>
      </c>
      <c r="C55" t="s">
        <v>17</v>
      </c>
      <c r="D55" t="s">
        <v>87</v>
      </c>
      <c r="E55" t="s">
        <v>132</v>
      </c>
      <c r="F55">
        <v>17</v>
      </c>
      <c r="G55">
        <v>24</v>
      </c>
      <c r="H55" t="str">
        <f t="shared" si="0"/>
        <v>mstz-0054.png</v>
      </c>
      <c r="I55" t="s">
        <v>129</v>
      </c>
    </row>
    <row r="56" spans="1:9" x14ac:dyDescent="0.6">
      <c r="A56" s="1" t="s">
        <v>239</v>
      </c>
      <c r="B56" t="s">
        <v>0</v>
      </c>
      <c r="C56" t="s">
        <v>19</v>
      </c>
      <c r="D56" t="s">
        <v>87</v>
      </c>
      <c r="E56" t="s">
        <v>132</v>
      </c>
      <c r="F56">
        <v>20</v>
      </c>
      <c r="G56">
        <v>29</v>
      </c>
      <c r="H56" t="str">
        <f t="shared" si="0"/>
        <v>mstz-0055.png</v>
      </c>
      <c r="I56" t="s">
        <v>129</v>
      </c>
    </row>
    <row r="57" spans="1:9" x14ac:dyDescent="0.6">
      <c r="A57" s="1" t="s">
        <v>240</v>
      </c>
      <c r="B57" t="s">
        <v>0</v>
      </c>
      <c r="C57" t="s">
        <v>47</v>
      </c>
      <c r="D57" t="s">
        <v>87</v>
      </c>
      <c r="E57" t="s">
        <v>132</v>
      </c>
      <c r="F57">
        <v>28</v>
      </c>
      <c r="G57">
        <v>35</v>
      </c>
      <c r="H57" t="str">
        <f t="shared" si="0"/>
        <v>mstz-0056.png</v>
      </c>
      <c r="I57" t="s">
        <v>129</v>
      </c>
    </row>
    <row r="58" spans="1:9" x14ac:dyDescent="0.6">
      <c r="A58" s="1"/>
    </row>
    <row r="59" spans="1:9" x14ac:dyDescent="0.6">
      <c r="A59" s="1"/>
    </row>
    <row r="60" spans="1:9" x14ac:dyDescent="0.6">
      <c r="A60" s="1"/>
    </row>
    <row r="61" spans="1:9" x14ac:dyDescent="0.6">
      <c r="A61" s="1"/>
    </row>
    <row r="62" spans="1:9" x14ac:dyDescent="0.6">
      <c r="A62" s="1"/>
    </row>
    <row r="63" spans="1:9" x14ac:dyDescent="0.6">
      <c r="A63" s="1"/>
    </row>
    <row r="64" spans="1:9" x14ac:dyDescent="0.6">
      <c r="A64" s="1"/>
    </row>
    <row r="65" spans="1:1" x14ac:dyDescent="0.6">
      <c r="A65" s="1"/>
    </row>
    <row r="66" spans="1:1" x14ac:dyDescent="0.6">
      <c r="A66" s="1"/>
    </row>
    <row r="67" spans="1:1" x14ac:dyDescent="0.6">
      <c r="A6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90B7-F489-4F2D-8B1F-27D4A08784E5}">
  <dimension ref="A1:J23"/>
  <sheetViews>
    <sheetView tabSelected="1" zoomScale="85" zoomScaleNormal="85" workbookViewId="0">
      <selection activeCell="I10" sqref="I10"/>
    </sheetView>
  </sheetViews>
  <sheetFormatPr defaultRowHeight="16.899999999999999" x14ac:dyDescent="0.6"/>
  <cols>
    <col min="1" max="1" width="11.1875" bestFit="1" customWidth="1"/>
    <col min="2" max="2" width="17.8125" bestFit="1" customWidth="1"/>
    <col min="3" max="3" width="17.8125" customWidth="1"/>
    <col min="4" max="4" width="11.5625" bestFit="1" customWidth="1"/>
    <col min="5" max="5" width="24.3125" bestFit="1" customWidth="1"/>
    <col min="6" max="7" width="6.5625" bestFit="1" customWidth="1"/>
    <col min="8" max="8" width="26.4375" bestFit="1" customWidth="1"/>
    <col min="9" max="9" width="74.25" customWidth="1"/>
    <col min="10" max="10" width="42.4375" customWidth="1"/>
  </cols>
  <sheetData>
    <row r="1" spans="1:10" x14ac:dyDescent="0.6">
      <c r="A1" s="3" t="s">
        <v>110</v>
      </c>
      <c r="B1" s="3" t="s">
        <v>117</v>
      </c>
      <c r="C1" s="3" t="s">
        <v>113</v>
      </c>
      <c r="D1" s="3" t="s">
        <v>112</v>
      </c>
      <c r="E1" s="3" t="s">
        <v>118</v>
      </c>
      <c r="F1" s="3" t="s">
        <v>119</v>
      </c>
      <c r="G1" s="3" t="s">
        <v>120</v>
      </c>
      <c r="H1" s="3" t="s">
        <v>115</v>
      </c>
      <c r="I1" s="3" t="s">
        <v>276</v>
      </c>
      <c r="J1" s="3" t="s">
        <v>275</v>
      </c>
    </row>
    <row r="2" spans="1:10" x14ac:dyDescent="0.6">
      <c r="A2" s="2" t="s">
        <v>241</v>
      </c>
      <c r="B2" s="2" t="s">
        <v>20</v>
      </c>
      <c r="C2" s="2" t="s">
        <v>174</v>
      </c>
      <c r="D2" s="2" t="s">
        <v>14</v>
      </c>
      <c r="E2" s="2" t="s">
        <v>48</v>
      </c>
      <c r="F2" s="2">
        <v>10</v>
      </c>
      <c r="G2" s="2"/>
      <c r="H2" t="str">
        <f>A2&amp;".png"</f>
        <v>mstz-0057.png</v>
      </c>
      <c r="I2" s="2" t="s">
        <v>182</v>
      </c>
      <c r="J2" s="2" t="s">
        <v>49</v>
      </c>
    </row>
    <row r="3" spans="1:10" x14ac:dyDescent="0.6">
      <c r="A3" s="2" t="s">
        <v>242</v>
      </c>
      <c r="B3" s="2" t="s">
        <v>21</v>
      </c>
      <c r="C3" s="2" t="s">
        <v>175</v>
      </c>
      <c r="D3" s="2" t="s">
        <v>14</v>
      </c>
      <c r="E3" s="2" t="s">
        <v>91</v>
      </c>
      <c r="F3" s="2">
        <v>15</v>
      </c>
      <c r="G3" s="2"/>
      <c r="H3" t="str">
        <f t="shared" ref="H3:H23" si="0">A3&amp;".png"</f>
        <v>mstz-0058.png</v>
      </c>
      <c r="I3" t="s">
        <v>260</v>
      </c>
      <c r="J3" s="2" t="s">
        <v>22</v>
      </c>
    </row>
    <row r="4" spans="1:10" x14ac:dyDescent="0.6">
      <c r="A4" s="2" t="s">
        <v>243</v>
      </c>
      <c r="B4" s="2" t="s">
        <v>23</v>
      </c>
      <c r="C4" s="2" t="s">
        <v>175</v>
      </c>
      <c r="D4" s="2" t="s">
        <v>14</v>
      </c>
      <c r="E4" s="2" t="s">
        <v>50</v>
      </c>
      <c r="F4" s="2">
        <v>10</v>
      </c>
      <c r="G4" s="2"/>
      <c r="H4" t="str">
        <f t="shared" si="0"/>
        <v>mstz-0059.png</v>
      </c>
      <c r="I4" t="s">
        <v>261</v>
      </c>
      <c r="J4" s="2" t="s">
        <v>51</v>
      </c>
    </row>
    <row r="5" spans="1:10" x14ac:dyDescent="0.6">
      <c r="A5" s="2" t="s">
        <v>244</v>
      </c>
      <c r="B5" s="2" t="s">
        <v>24</v>
      </c>
      <c r="C5" s="2" t="s">
        <v>176</v>
      </c>
      <c r="D5" s="2" t="s">
        <v>16</v>
      </c>
      <c r="E5" s="2" t="s">
        <v>52</v>
      </c>
      <c r="F5" s="2"/>
      <c r="G5" s="2"/>
      <c r="H5" t="str">
        <f t="shared" si="0"/>
        <v>mstz-0060.png</v>
      </c>
      <c r="I5" s="2" t="s">
        <v>179</v>
      </c>
      <c r="J5" s="2" t="s">
        <v>53</v>
      </c>
    </row>
    <row r="6" spans="1:10" x14ac:dyDescent="0.6">
      <c r="A6" s="2" t="s">
        <v>245</v>
      </c>
      <c r="B6" s="2" t="s">
        <v>25</v>
      </c>
      <c r="C6" s="2" t="s">
        <v>176</v>
      </c>
      <c r="D6" s="2" t="s">
        <v>16</v>
      </c>
      <c r="E6" s="2" t="s">
        <v>54</v>
      </c>
      <c r="F6" s="2"/>
      <c r="G6" s="2"/>
      <c r="H6" t="str">
        <f t="shared" si="0"/>
        <v>mstz-0061.png</v>
      </c>
      <c r="I6" t="s">
        <v>45</v>
      </c>
      <c r="J6" s="2" t="s">
        <v>55</v>
      </c>
    </row>
    <row r="7" spans="1:10" x14ac:dyDescent="0.6">
      <c r="A7" s="2" t="s">
        <v>246</v>
      </c>
      <c r="B7" s="2" t="s">
        <v>26</v>
      </c>
      <c r="C7" s="2" t="s">
        <v>174</v>
      </c>
      <c r="D7" s="2" t="s">
        <v>16</v>
      </c>
      <c r="E7" s="2" t="s">
        <v>56</v>
      </c>
      <c r="F7" s="2">
        <v>15</v>
      </c>
      <c r="G7" s="2"/>
      <c r="H7" t="str">
        <f t="shared" si="0"/>
        <v>mstz-0062.png</v>
      </c>
      <c r="I7" t="s">
        <v>262</v>
      </c>
      <c r="J7" s="2" t="s">
        <v>57</v>
      </c>
    </row>
    <row r="8" spans="1:10" x14ac:dyDescent="0.6">
      <c r="A8" s="2" t="s">
        <v>247</v>
      </c>
      <c r="B8" s="2" t="s">
        <v>40</v>
      </c>
      <c r="C8" s="2" t="s">
        <v>176</v>
      </c>
      <c r="D8" s="2" t="s">
        <v>16</v>
      </c>
      <c r="E8" s="2" t="s">
        <v>58</v>
      </c>
      <c r="F8" s="2"/>
      <c r="G8" s="2"/>
      <c r="H8" t="str">
        <f t="shared" si="0"/>
        <v>mstz-0063.png</v>
      </c>
      <c r="I8" s="2" t="s">
        <v>180</v>
      </c>
      <c r="J8" s="2" t="s">
        <v>59</v>
      </c>
    </row>
    <row r="9" spans="1:10" x14ac:dyDescent="0.6">
      <c r="A9" s="2" t="s">
        <v>248</v>
      </c>
      <c r="B9" s="2" t="s">
        <v>29</v>
      </c>
      <c r="C9" s="2" t="s">
        <v>175</v>
      </c>
      <c r="D9" s="2" t="s">
        <v>16</v>
      </c>
      <c r="E9" s="2" t="s">
        <v>60</v>
      </c>
      <c r="F9" s="2"/>
      <c r="G9" s="2"/>
      <c r="H9" t="str">
        <f t="shared" si="0"/>
        <v>mstz-0064.png</v>
      </c>
      <c r="I9" t="s">
        <v>263</v>
      </c>
      <c r="J9" s="2" t="s">
        <v>61</v>
      </c>
    </row>
    <row r="10" spans="1:10" x14ac:dyDescent="0.6">
      <c r="A10" s="2" t="s">
        <v>249</v>
      </c>
      <c r="B10" s="2" t="s">
        <v>28</v>
      </c>
      <c r="C10" s="2" t="s">
        <v>175</v>
      </c>
      <c r="D10" s="2" t="s">
        <v>16</v>
      </c>
      <c r="E10" s="2" t="s">
        <v>62</v>
      </c>
      <c r="F10" s="2"/>
      <c r="G10" s="2"/>
      <c r="H10" t="str">
        <f t="shared" si="0"/>
        <v>mstz-0065.png</v>
      </c>
      <c r="I10" t="s">
        <v>264</v>
      </c>
      <c r="J10" s="2" t="s">
        <v>30</v>
      </c>
    </row>
    <row r="11" spans="1:10" x14ac:dyDescent="0.6">
      <c r="A11" s="2" t="s">
        <v>250</v>
      </c>
      <c r="B11" s="2" t="s">
        <v>31</v>
      </c>
      <c r="C11" s="2" t="s">
        <v>174</v>
      </c>
      <c r="D11" s="2" t="s">
        <v>16</v>
      </c>
      <c r="E11" s="2" t="s">
        <v>63</v>
      </c>
      <c r="F11" s="2">
        <v>2</v>
      </c>
      <c r="G11" s="2"/>
      <c r="H11" t="str">
        <f t="shared" si="0"/>
        <v>mstz-0066.png</v>
      </c>
      <c r="I11" s="2" t="s">
        <v>181</v>
      </c>
      <c r="J11" s="2" t="s">
        <v>32</v>
      </c>
    </row>
    <row r="12" spans="1:10" x14ac:dyDescent="0.6">
      <c r="A12" s="2" t="s">
        <v>251</v>
      </c>
      <c r="B12" s="2" t="s">
        <v>33</v>
      </c>
      <c r="C12" s="2" t="s">
        <v>176</v>
      </c>
      <c r="D12" s="2" t="s">
        <v>16</v>
      </c>
      <c r="E12" s="2" t="s">
        <v>64</v>
      </c>
      <c r="F12" s="2">
        <v>1</v>
      </c>
      <c r="G12" s="2"/>
      <c r="H12" t="str">
        <f t="shared" si="0"/>
        <v>mstz-0067.png</v>
      </c>
      <c r="I12" t="s">
        <v>265</v>
      </c>
      <c r="J12" s="2" t="s">
        <v>65</v>
      </c>
    </row>
    <row r="13" spans="1:10" x14ac:dyDescent="0.6">
      <c r="A13" s="2" t="s">
        <v>252</v>
      </c>
      <c r="B13" s="2" t="s">
        <v>27</v>
      </c>
      <c r="C13" s="2" t="s">
        <v>174</v>
      </c>
      <c r="D13" s="2" t="s">
        <v>16</v>
      </c>
      <c r="E13" s="2" t="s">
        <v>66</v>
      </c>
      <c r="F13" s="2"/>
      <c r="G13" s="2"/>
      <c r="H13" t="str">
        <f t="shared" si="0"/>
        <v>mstz-0068.png</v>
      </c>
      <c r="I13" s="2" t="s">
        <v>266</v>
      </c>
      <c r="J13" s="2" t="s">
        <v>280</v>
      </c>
    </row>
    <row r="14" spans="1:10" x14ac:dyDescent="0.6">
      <c r="A14" s="2" t="s">
        <v>253</v>
      </c>
      <c r="B14" s="2" t="s">
        <v>34</v>
      </c>
      <c r="C14" s="2" t="s">
        <v>174</v>
      </c>
      <c r="D14" s="2" t="s">
        <v>18</v>
      </c>
      <c r="E14" s="2" t="s">
        <v>56</v>
      </c>
      <c r="F14" s="2">
        <v>30</v>
      </c>
      <c r="G14" s="2"/>
      <c r="H14" t="str">
        <f t="shared" si="0"/>
        <v>mstz-0069.png</v>
      </c>
      <c r="I14" s="2" t="s">
        <v>267</v>
      </c>
      <c r="J14" s="2" t="s">
        <v>68</v>
      </c>
    </row>
    <row r="15" spans="1:10" x14ac:dyDescent="0.6">
      <c r="A15" s="2" t="s">
        <v>254</v>
      </c>
      <c r="B15" s="2" t="s">
        <v>35</v>
      </c>
      <c r="C15" s="2" t="s">
        <v>178</v>
      </c>
      <c r="D15" s="2" t="s">
        <v>18</v>
      </c>
      <c r="E15" s="2" t="s">
        <v>69</v>
      </c>
      <c r="F15" s="2"/>
      <c r="G15" s="2"/>
      <c r="H15" t="str">
        <f t="shared" si="0"/>
        <v>mstz-0070.png</v>
      </c>
      <c r="I15" t="s">
        <v>183</v>
      </c>
      <c r="J15" s="2" t="s">
        <v>70</v>
      </c>
    </row>
    <row r="16" spans="1:10" x14ac:dyDescent="0.6">
      <c r="A16" s="2" t="s">
        <v>255</v>
      </c>
      <c r="B16" s="2" t="s">
        <v>43</v>
      </c>
      <c r="C16" s="2" t="s">
        <v>176</v>
      </c>
      <c r="D16" s="2" t="s">
        <v>18</v>
      </c>
      <c r="E16" s="2" t="s">
        <v>71</v>
      </c>
      <c r="F16" s="2"/>
      <c r="G16" s="2"/>
      <c r="H16" t="str">
        <f t="shared" si="0"/>
        <v>mstz-0071.png</v>
      </c>
      <c r="I16" s="2" t="s">
        <v>268</v>
      </c>
      <c r="J16" s="2" t="s">
        <v>72</v>
      </c>
    </row>
    <row r="17" spans="1:10" ht="33.75" x14ac:dyDescent="0.6">
      <c r="A17" s="2" t="s">
        <v>270</v>
      </c>
      <c r="B17" s="2" t="s">
        <v>36</v>
      </c>
      <c r="C17" s="2" t="s">
        <v>177</v>
      </c>
      <c r="D17" s="2" t="s">
        <v>18</v>
      </c>
      <c r="E17" s="2" t="s">
        <v>73</v>
      </c>
      <c r="F17" s="2">
        <v>5</v>
      </c>
      <c r="G17" s="2"/>
      <c r="H17" t="str">
        <f t="shared" si="0"/>
        <v>mstz-0073.png</v>
      </c>
      <c r="I17" s="2" t="s">
        <v>277</v>
      </c>
      <c r="J17" s="2" t="s">
        <v>74</v>
      </c>
    </row>
    <row r="18" spans="1:10" ht="33.75" x14ac:dyDescent="0.6">
      <c r="A18" s="2" t="s">
        <v>271</v>
      </c>
      <c r="B18" s="2" t="s">
        <v>37</v>
      </c>
      <c r="C18" s="2" t="s">
        <v>177</v>
      </c>
      <c r="D18" s="2" t="s">
        <v>18</v>
      </c>
      <c r="E18" s="2" t="s">
        <v>75</v>
      </c>
      <c r="F18" s="2">
        <v>5</v>
      </c>
      <c r="G18" s="2"/>
      <c r="H18" t="str">
        <f t="shared" si="0"/>
        <v>mstz-0074.png</v>
      </c>
      <c r="I18" s="2" t="s">
        <v>279</v>
      </c>
      <c r="J18" s="2" t="s">
        <v>76</v>
      </c>
    </row>
    <row r="19" spans="1:10" ht="33.75" x14ac:dyDescent="0.6">
      <c r="A19" s="2" t="s">
        <v>269</v>
      </c>
      <c r="B19" s="2" t="s">
        <v>38</v>
      </c>
      <c r="C19" s="2" t="s">
        <v>177</v>
      </c>
      <c r="D19" s="2" t="s">
        <v>18</v>
      </c>
      <c r="E19" s="2" t="s">
        <v>77</v>
      </c>
      <c r="F19" s="2">
        <v>5</v>
      </c>
      <c r="G19" s="2"/>
      <c r="H19" t="str">
        <f t="shared" si="0"/>
        <v>mstz-0072.png</v>
      </c>
      <c r="I19" s="2" t="s">
        <v>278</v>
      </c>
      <c r="J19" s="2" t="s">
        <v>78</v>
      </c>
    </row>
    <row r="20" spans="1:10" x14ac:dyDescent="0.6">
      <c r="A20" s="2" t="s">
        <v>256</v>
      </c>
      <c r="B20" s="2" t="s">
        <v>39</v>
      </c>
      <c r="C20" s="2" t="s">
        <v>174</v>
      </c>
      <c r="D20" t="s">
        <v>47</v>
      </c>
      <c r="E20" s="2" t="s">
        <v>79</v>
      </c>
      <c r="F20" s="2">
        <v>40</v>
      </c>
      <c r="G20" s="2"/>
      <c r="H20" t="str">
        <f t="shared" si="0"/>
        <v>mstz-0075.png</v>
      </c>
      <c r="I20" s="2" t="s">
        <v>272</v>
      </c>
      <c r="J20" s="2" t="s">
        <v>80</v>
      </c>
    </row>
    <row r="21" spans="1:10" x14ac:dyDescent="0.6">
      <c r="A21" s="2" t="s">
        <v>257</v>
      </c>
      <c r="B21" s="2" t="s">
        <v>41</v>
      </c>
      <c r="C21" s="2" t="s">
        <v>174</v>
      </c>
      <c r="D21" t="s">
        <v>47</v>
      </c>
      <c r="E21" s="2" t="s">
        <v>81</v>
      </c>
      <c r="F21" s="2">
        <v>20</v>
      </c>
      <c r="G21" s="2"/>
      <c r="H21" t="str">
        <f t="shared" si="0"/>
        <v>mstz-0076.png</v>
      </c>
      <c r="I21" t="s">
        <v>273</v>
      </c>
      <c r="J21" s="2" t="s">
        <v>82</v>
      </c>
    </row>
    <row r="22" spans="1:10" x14ac:dyDescent="0.6">
      <c r="A22" s="2" t="s">
        <v>258</v>
      </c>
      <c r="B22" s="2" t="s">
        <v>44</v>
      </c>
      <c r="C22" s="2" t="s">
        <v>178</v>
      </c>
      <c r="D22" t="s">
        <v>47</v>
      </c>
      <c r="E22" s="2" t="s">
        <v>83</v>
      </c>
      <c r="F22" s="2"/>
      <c r="G22" s="2"/>
      <c r="H22" t="str">
        <f t="shared" si="0"/>
        <v>mstz-0077.png</v>
      </c>
      <c r="I22" t="s">
        <v>274</v>
      </c>
      <c r="J22" s="2" t="s">
        <v>84</v>
      </c>
    </row>
    <row r="23" spans="1:10" x14ac:dyDescent="0.6">
      <c r="A23" s="2" t="s">
        <v>259</v>
      </c>
      <c r="B23" s="2" t="s">
        <v>42</v>
      </c>
      <c r="C23" s="2" t="s">
        <v>178</v>
      </c>
      <c r="D23" t="s">
        <v>47</v>
      </c>
      <c r="E23" s="2" t="s">
        <v>85</v>
      </c>
      <c r="F23" s="2"/>
      <c r="G23" s="2"/>
      <c r="H23" t="str">
        <f t="shared" si="0"/>
        <v>mstz-0078.png</v>
      </c>
      <c r="I23" s="2" t="s">
        <v>184</v>
      </c>
      <c r="J23" s="2" t="s">
        <v>86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1FAE-AD19-4482-A121-29C7994D1831}">
  <dimension ref="A1:G22"/>
  <sheetViews>
    <sheetView workbookViewId="0">
      <selection activeCell="C8" sqref="C8"/>
    </sheetView>
  </sheetViews>
  <sheetFormatPr defaultRowHeight="16.899999999999999" x14ac:dyDescent="0.6"/>
  <cols>
    <col min="2" max="2" width="24.3125" bestFit="1" customWidth="1"/>
    <col min="3" max="3" width="12.3125" bestFit="1" customWidth="1"/>
    <col min="4" max="4" width="12.3125" customWidth="1"/>
    <col min="5" max="5" width="20.3125" bestFit="1" customWidth="1"/>
    <col min="6" max="6" width="7.4375" bestFit="1" customWidth="1"/>
    <col min="7" max="7" width="11.8125" bestFit="1" customWidth="1"/>
  </cols>
  <sheetData>
    <row r="1" spans="1:7" x14ac:dyDescent="0.6">
      <c r="A1" s="3" t="s">
        <v>134</v>
      </c>
      <c r="B1" s="3" t="s">
        <v>118</v>
      </c>
      <c r="C1" s="3" t="s">
        <v>123</v>
      </c>
      <c r="D1" s="3" t="s">
        <v>112</v>
      </c>
      <c r="E1" s="3" t="s">
        <v>122</v>
      </c>
      <c r="F1" s="3" t="s">
        <v>124</v>
      </c>
      <c r="G1" s="3" t="s">
        <v>121</v>
      </c>
    </row>
    <row r="2" spans="1:7" x14ac:dyDescent="0.6">
      <c r="A2" t="s">
        <v>135</v>
      </c>
      <c r="B2" s="2" t="s">
        <v>48</v>
      </c>
      <c r="C2" s="2" t="str">
        <f>INDEX(BuffCard!$C$2:$C$999,MATCH(EffectCode!B2,BuffCard!$E$2:$E$999,0))</f>
        <v>ATTACK</v>
      </c>
      <c r="D2" s="2" t="str">
        <f>INDEX(BuffCard!$D$2:$D$999,MATCH(B2,BuffCard!$E$2:$E$999,0))</f>
        <v>Common</v>
      </c>
      <c r="E2" s="2" t="s">
        <v>89</v>
      </c>
      <c r="F2" s="2" t="s">
        <v>90</v>
      </c>
    </row>
    <row r="3" spans="1:7" x14ac:dyDescent="0.6">
      <c r="A3" t="s">
        <v>136</v>
      </c>
      <c r="B3" s="2" t="s">
        <v>91</v>
      </c>
      <c r="C3" s="2" t="str">
        <f>INDEX(BuffCard!$C$2:$C$999,MATCH(EffectCode!B3,BuffCard!$E$2:$E$999,0))</f>
        <v>DEFENSE</v>
      </c>
      <c r="D3" s="2" t="str">
        <f>INDEX(BuffCard!$D$2:$D$999,MATCH(B3,BuffCard!$E$2:$E$999,0))</f>
        <v>Common</v>
      </c>
      <c r="E3" s="2" t="s">
        <v>92</v>
      </c>
      <c r="F3" s="2" t="s">
        <v>90</v>
      </c>
    </row>
    <row r="4" spans="1:7" x14ac:dyDescent="0.6">
      <c r="A4" t="s">
        <v>137</v>
      </c>
      <c r="B4" s="2" t="s">
        <v>50</v>
      </c>
      <c r="C4" s="2" t="str">
        <f>INDEX(BuffCard!$C$2:$C$999,MATCH(EffectCode!B4,BuffCard!$E$2:$E$999,0))</f>
        <v>DEFENSE</v>
      </c>
      <c r="D4" s="2" t="str">
        <f>INDEX(BuffCard!$D$2:$D$999,MATCH(B4,BuffCard!$E$2:$E$999,0))</f>
        <v>Common</v>
      </c>
      <c r="E4" s="2" t="s">
        <v>93</v>
      </c>
      <c r="F4" s="2" t="s">
        <v>90</v>
      </c>
    </row>
    <row r="5" spans="1:7" x14ac:dyDescent="0.6">
      <c r="A5" t="s">
        <v>138</v>
      </c>
      <c r="B5" s="2" t="s">
        <v>52</v>
      </c>
      <c r="C5" s="2" t="str">
        <f>INDEX(BuffCard!$C$2:$C$999,MATCH(EffectCode!B5,BuffCard!$E$2:$E$999,0))</f>
        <v>CONTROL</v>
      </c>
      <c r="D5" s="2" t="str">
        <f>INDEX(BuffCard!$D$2:$D$999,MATCH(B5,BuffCard!$E$2:$E$999,0))</f>
        <v>Uncommon</v>
      </c>
      <c r="E5" s="2" t="s">
        <v>53</v>
      </c>
      <c r="F5" s="2" t="s">
        <v>94</v>
      </c>
    </row>
    <row r="6" spans="1:7" x14ac:dyDescent="0.6">
      <c r="A6" t="s">
        <v>139</v>
      </c>
      <c r="B6" s="2" t="s">
        <v>54</v>
      </c>
      <c r="C6" s="2" t="str">
        <f>INDEX(BuffCard!$C$2:$C$999,MATCH(EffectCode!B6,BuffCard!$E$2:$E$999,0))</f>
        <v>CONTROL</v>
      </c>
      <c r="D6" s="2" t="str">
        <f>INDEX(BuffCard!$D$2:$D$999,MATCH(B6,BuffCard!$E$2:$E$999,0))</f>
        <v>Uncommon</v>
      </c>
      <c r="E6" s="2" t="s">
        <v>55</v>
      </c>
      <c r="F6" s="2" t="s">
        <v>94</v>
      </c>
    </row>
    <row r="7" spans="1:7" x14ac:dyDescent="0.6">
      <c r="A7" t="s">
        <v>140</v>
      </c>
      <c r="B7" s="2" t="s">
        <v>56</v>
      </c>
      <c r="C7" s="2" t="str">
        <f>INDEX(BuffCard!$C$2:$C$999,MATCH(EffectCode!B7,BuffCard!$E$2:$E$999,0))</f>
        <v>ATTACK</v>
      </c>
      <c r="D7" s="2" t="str">
        <f>INDEX(BuffCard!$D$2:$D$999,MATCH(B7,BuffCard!$E$2:$E$999,0))</f>
        <v>Uncommon</v>
      </c>
      <c r="E7" s="2" t="s">
        <v>95</v>
      </c>
      <c r="F7" s="2" t="s">
        <v>90</v>
      </c>
    </row>
    <row r="8" spans="1:7" x14ac:dyDescent="0.6">
      <c r="A8" t="s">
        <v>141</v>
      </c>
      <c r="B8" s="2" t="s">
        <v>58</v>
      </c>
      <c r="C8" s="2" t="str">
        <f>INDEX(BuffCard!$C$2:$C$999,MATCH(EffectCode!B8,BuffCard!$E$2:$E$999,0))</f>
        <v>CONTROL</v>
      </c>
      <c r="D8" s="2" t="str">
        <f>INDEX(BuffCard!$D$2:$D$999,MATCH(B8,BuffCard!$E$2:$E$999,0))</f>
        <v>Uncommon</v>
      </c>
      <c r="E8" s="2" t="s">
        <v>96</v>
      </c>
      <c r="F8" s="2" t="s">
        <v>94</v>
      </c>
    </row>
    <row r="9" spans="1:7" x14ac:dyDescent="0.6">
      <c r="A9" t="s">
        <v>142</v>
      </c>
      <c r="B9" s="2" t="s">
        <v>60</v>
      </c>
      <c r="C9" s="2" t="str">
        <f>INDEX(BuffCard!$C$2:$C$999,MATCH(EffectCode!B9,BuffCard!$E$2:$E$999,0))</f>
        <v>DEFENSE</v>
      </c>
      <c r="D9" s="2" t="str">
        <f>INDEX(BuffCard!$D$2:$D$999,MATCH(B9,BuffCard!$E$2:$E$999,0))</f>
        <v>Uncommon</v>
      </c>
      <c r="E9" s="2" t="s">
        <v>61</v>
      </c>
      <c r="F9" s="2" t="s">
        <v>94</v>
      </c>
    </row>
    <row r="10" spans="1:7" x14ac:dyDescent="0.6">
      <c r="A10" t="s">
        <v>143</v>
      </c>
      <c r="B10" s="2" t="s">
        <v>62</v>
      </c>
      <c r="C10" s="2" t="str">
        <f>INDEX(BuffCard!$C$2:$C$999,MATCH(EffectCode!B10,BuffCard!$E$2:$E$999,0))</f>
        <v>DEFENSE</v>
      </c>
      <c r="D10" s="2" t="str">
        <f>INDEX(BuffCard!$D$2:$D$999,MATCH(B10,BuffCard!$E$2:$E$999,0))</f>
        <v>Uncommon</v>
      </c>
      <c r="E10" s="2" t="s">
        <v>30</v>
      </c>
      <c r="F10" s="2" t="s">
        <v>94</v>
      </c>
    </row>
    <row r="11" spans="1:7" x14ac:dyDescent="0.6">
      <c r="A11" t="s">
        <v>144</v>
      </c>
      <c r="B11" s="2" t="s">
        <v>63</v>
      </c>
      <c r="C11" s="2" t="str">
        <f>INDEX(BuffCard!$C$2:$C$999,MATCH(EffectCode!B11,BuffCard!$E$2:$E$999,0))</f>
        <v>ATTACK</v>
      </c>
      <c r="D11" s="2" t="str">
        <f>INDEX(BuffCard!$D$2:$D$999,MATCH(B11,BuffCard!$E$2:$E$999,0))</f>
        <v>Uncommon</v>
      </c>
      <c r="E11" s="2" t="s">
        <v>32</v>
      </c>
      <c r="F11" s="2" t="s">
        <v>90</v>
      </c>
    </row>
    <row r="12" spans="1:7" x14ac:dyDescent="0.6">
      <c r="A12" t="s">
        <v>145</v>
      </c>
      <c r="B12" s="2" t="s">
        <v>64</v>
      </c>
      <c r="C12" s="2" t="str">
        <f>INDEX(BuffCard!$C$2:$C$999,MATCH(EffectCode!B12,BuffCard!$E$2:$E$999,0))</f>
        <v>CONTROL</v>
      </c>
      <c r="D12" s="2" t="str">
        <f>INDEX(BuffCard!$D$2:$D$999,MATCH(B12,BuffCard!$E$2:$E$999,0))</f>
        <v>Uncommon</v>
      </c>
      <c r="E12" s="2" t="s">
        <v>97</v>
      </c>
      <c r="F12" s="2" t="s">
        <v>90</v>
      </c>
    </row>
    <row r="13" spans="1:7" x14ac:dyDescent="0.6">
      <c r="A13" t="s">
        <v>146</v>
      </c>
      <c r="B13" s="2" t="s">
        <v>66</v>
      </c>
      <c r="C13" s="2" t="str">
        <f>INDEX(BuffCard!$C$2:$C$999,MATCH(EffectCode!B13,BuffCard!$E$2:$E$999,0))</f>
        <v>ATTACK</v>
      </c>
      <c r="D13" s="2" t="str">
        <f>INDEX(BuffCard!$D$2:$D$999,MATCH(B13,BuffCard!$E$2:$E$999,0))</f>
        <v>Uncommon</v>
      </c>
      <c r="E13" s="2" t="s">
        <v>67</v>
      </c>
      <c r="F13" s="2" t="s">
        <v>94</v>
      </c>
    </row>
    <row r="14" spans="1:7" x14ac:dyDescent="0.6">
      <c r="A14" t="s">
        <v>147</v>
      </c>
      <c r="B14" s="2" t="s">
        <v>69</v>
      </c>
      <c r="C14" s="2" t="str">
        <f>INDEX(BuffCard!$C$2:$C$999,MATCH(EffectCode!B14,BuffCard!$E$2:$E$999,0))</f>
        <v>SPECIAL</v>
      </c>
      <c r="D14" s="2" t="str">
        <f>INDEX(BuffCard!$D$2:$D$999,MATCH(B14,BuffCard!$E$2:$E$999,0))</f>
        <v>Rare</v>
      </c>
      <c r="E14" s="2" t="s">
        <v>70</v>
      </c>
      <c r="F14" s="2" t="s">
        <v>94</v>
      </c>
    </row>
    <row r="15" spans="1:7" x14ac:dyDescent="0.6">
      <c r="A15" t="s">
        <v>148</v>
      </c>
      <c r="B15" s="2" t="s">
        <v>71</v>
      </c>
      <c r="C15" s="2" t="str">
        <f>INDEX(BuffCard!$C$2:$C$999,MATCH(EffectCode!B15,BuffCard!$E$2:$E$999,0))</f>
        <v>CONTROL</v>
      </c>
      <c r="D15" s="2" t="str">
        <f>INDEX(BuffCard!$D$2:$D$999,MATCH(B15,BuffCard!$E$2:$E$999,0))</f>
        <v>Rare</v>
      </c>
      <c r="E15" s="2" t="s">
        <v>72</v>
      </c>
      <c r="F15" s="2" t="s">
        <v>94</v>
      </c>
    </row>
    <row r="16" spans="1:7" x14ac:dyDescent="0.6">
      <c r="A16" t="s">
        <v>149</v>
      </c>
      <c r="B16" s="2" t="s">
        <v>73</v>
      </c>
      <c r="C16" s="2" t="str">
        <f>INDEX(BuffCard!$C$2:$C$999,MATCH(EffectCode!B16,BuffCard!$E$2:$E$999,0))</f>
        <v>FIELD</v>
      </c>
      <c r="D16" s="2" t="str">
        <f>INDEX(BuffCard!$D$2:$D$999,MATCH(B16,BuffCard!$E$2:$E$999,0))</f>
        <v>Rare</v>
      </c>
      <c r="E16" s="2" t="s">
        <v>98</v>
      </c>
      <c r="F16" s="2" t="s">
        <v>90</v>
      </c>
    </row>
    <row r="17" spans="1:6" x14ac:dyDescent="0.6">
      <c r="A17" t="s">
        <v>150</v>
      </c>
      <c r="B17" s="2" t="s">
        <v>75</v>
      </c>
      <c r="C17" s="2" t="str">
        <f>INDEX(BuffCard!$C$2:$C$999,MATCH(EffectCode!B17,BuffCard!$E$2:$E$999,0))</f>
        <v>FIELD</v>
      </c>
      <c r="D17" s="2" t="str">
        <f>INDEX(BuffCard!$D$2:$D$999,MATCH(B17,BuffCard!$E$2:$E$999,0))</f>
        <v>Rare</v>
      </c>
      <c r="E17" s="2" t="s">
        <v>99</v>
      </c>
      <c r="F17" s="2" t="s">
        <v>90</v>
      </c>
    </row>
    <row r="18" spans="1:6" x14ac:dyDescent="0.6">
      <c r="A18" t="s">
        <v>151</v>
      </c>
      <c r="B18" s="2" t="s">
        <v>77</v>
      </c>
      <c r="C18" s="2" t="str">
        <f>INDEX(BuffCard!$C$2:$C$999,MATCH(EffectCode!B18,BuffCard!$E$2:$E$999,0))</f>
        <v>FIELD</v>
      </c>
      <c r="D18" s="2" t="str">
        <f>INDEX(BuffCard!$D$2:$D$999,MATCH(B18,BuffCard!$E$2:$E$999,0))</f>
        <v>Rare</v>
      </c>
      <c r="E18" s="2" t="s">
        <v>100</v>
      </c>
      <c r="F18" s="2" t="s">
        <v>90</v>
      </c>
    </row>
    <row r="19" spans="1:6" x14ac:dyDescent="0.6">
      <c r="A19" t="s">
        <v>152</v>
      </c>
      <c r="B19" s="2" t="s">
        <v>79</v>
      </c>
      <c r="C19" s="2" t="str">
        <f>INDEX(BuffCard!$C$2:$C$999,MATCH(EffectCode!B19,BuffCard!$E$2:$E$999,0))</f>
        <v>ATTACK</v>
      </c>
      <c r="D19" s="2" t="str">
        <f>INDEX(BuffCard!$D$2:$D$999,MATCH(B19,BuffCard!$E$2:$E$999,0))</f>
        <v>SuperRare</v>
      </c>
      <c r="E19" s="2" t="s">
        <v>101</v>
      </c>
      <c r="F19" s="2" t="s">
        <v>90</v>
      </c>
    </row>
    <row r="20" spans="1:6" x14ac:dyDescent="0.6">
      <c r="A20" t="s">
        <v>153</v>
      </c>
      <c r="B20" s="2" t="s">
        <v>81</v>
      </c>
      <c r="C20" s="2" t="str">
        <f>INDEX(BuffCard!$C$2:$C$999,MATCH(EffectCode!B20,BuffCard!$E$2:$E$999,0))</f>
        <v>ATTACK</v>
      </c>
      <c r="D20" s="2" t="str">
        <f>INDEX(BuffCard!$D$2:$D$999,MATCH(B20,BuffCard!$E$2:$E$999,0))</f>
        <v>SuperRare</v>
      </c>
      <c r="E20" s="2" t="s">
        <v>102</v>
      </c>
      <c r="F20" s="2" t="s">
        <v>90</v>
      </c>
    </row>
    <row r="21" spans="1:6" x14ac:dyDescent="0.6">
      <c r="A21" t="s">
        <v>154</v>
      </c>
      <c r="B21" s="2" t="s">
        <v>83</v>
      </c>
      <c r="C21" s="2" t="str">
        <f>INDEX(BuffCard!$C$2:$C$999,MATCH(EffectCode!B21,BuffCard!$E$2:$E$999,0))</f>
        <v>SPECIAL</v>
      </c>
      <c r="D21" s="2" t="str">
        <f>INDEX(BuffCard!$D$2:$D$999,MATCH(B21,BuffCard!$E$2:$E$999,0))</f>
        <v>SuperRare</v>
      </c>
      <c r="E21" s="2" t="s">
        <v>84</v>
      </c>
      <c r="F21" s="2" t="s">
        <v>94</v>
      </c>
    </row>
    <row r="22" spans="1:6" x14ac:dyDescent="0.6">
      <c r="A22" t="s">
        <v>155</v>
      </c>
      <c r="B22" s="2" t="s">
        <v>85</v>
      </c>
      <c r="C22" s="2" t="str">
        <f>INDEX(BuffCard!$C$2:$C$999,MATCH(EffectCode!B22,BuffCard!$E$2:$E$999,0))</f>
        <v>SPECIAL</v>
      </c>
      <c r="D22" s="2" t="str">
        <f>INDEX(BuffCard!$D$2:$D$999,MATCH(B22,BuffCard!$E$2:$E$999,0))</f>
        <v>SuperRare</v>
      </c>
      <c r="E22" s="2" t="s">
        <v>103</v>
      </c>
      <c r="F22" s="2" t="s">
        <v>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25A0-3BDE-4700-AC9E-80FC183FE58F}">
  <dimension ref="A1:B5"/>
  <sheetViews>
    <sheetView workbookViewId="0">
      <selection activeCell="G17" sqref="G17"/>
    </sheetView>
  </sheetViews>
  <sheetFormatPr defaultRowHeight="16.899999999999999" x14ac:dyDescent="0.6"/>
  <cols>
    <col min="1" max="1" width="11.5625" bestFit="1" customWidth="1"/>
    <col min="2" max="2" width="11.3125" bestFit="1" customWidth="1"/>
  </cols>
  <sheetData>
    <row r="1" spans="1:2" x14ac:dyDescent="0.6">
      <c r="A1" s="3" t="s">
        <v>112</v>
      </c>
      <c r="B1" s="6" t="s">
        <v>125</v>
      </c>
    </row>
    <row r="2" spans="1:2" x14ac:dyDescent="0.6">
      <c r="A2" s="2" t="s">
        <v>14</v>
      </c>
      <c r="B2" s="5">
        <v>55</v>
      </c>
    </row>
    <row r="3" spans="1:2" x14ac:dyDescent="0.6">
      <c r="A3" s="2" t="s">
        <v>16</v>
      </c>
      <c r="B3" s="5">
        <v>25</v>
      </c>
    </row>
    <row r="4" spans="1:2" x14ac:dyDescent="0.6">
      <c r="A4" s="2" t="s">
        <v>18</v>
      </c>
      <c r="B4" s="5">
        <v>15</v>
      </c>
    </row>
    <row r="5" spans="1:2" x14ac:dyDescent="0.6">
      <c r="A5" t="s">
        <v>47</v>
      </c>
      <c r="B5" s="5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2936F-B2A3-4448-B8AD-1A0FE8AC9245}">
  <dimension ref="A1:C11"/>
  <sheetViews>
    <sheetView workbookViewId="0">
      <selection activeCell="B17" sqref="B17"/>
    </sheetView>
  </sheetViews>
  <sheetFormatPr defaultRowHeight="16.899999999999999" x14ac:dyDescent="0.6"/>
  <cols>
    <col min="1" max="1" width="30" customWidth="1"/>
    <col min="2" max="2" width="17.625" customWidth="1"/>
    <col min="3" max="3" width="79.5" customWidth="1"/>
  </cols>
  <sheetData>
    <row r="1" spans="1:3" x14ac:dyDescent="0.6">
      <c r="A1" s="3" t="s">
        <v>104</v>
      </c>
      <c r="B1" s="6" t="s">
        <v>105</v>
      </c>
      <c r="C1" s="3" t="s">
        <v>46</v>
      </c>
    </row>
    <row r="2" spans="1:3" x14ac:dyDescent="0.6">
      <c r="A2" s="2" t="s">
        <v>106</v>
      </c>
      <c r="B2" s="5">
        <v>100</v>
      </c>
      <c r="C2" s="2" t="s">
        <v>156</v>
      </c>
    </row>
    <row r="3" spans="1:3" x14ac:dyDescent="0.6">
      <c r="A3" s="2" t="s">
        <v>157</v>
      </c>
      <c r="B3" s="5">
        <v>3</v>
      </c>
      <c r="C3" s="2" t="s">
        <v>158</v>
      </c>
    </row>
    <row r="4" spans="1:3" x14ac:dyDescent="0.6">
      <c r="A4" s="2" t="s">
        <v>159</v>
      </c>
      <c r="B4" s="5">
        <v>5</v>
      </c>
      <c r="C4" s="2" t="s">
        <v>160</v>
      </c>
    </row>
    <row r="5" spans="1:3" x14ac:dyDescent="0.6">
      <c r="A5" s="2" t="s">
        <v>161</v>
      </c>
      <c r="B5" s="5">
        <v>7</v>
      </c>
      <c r="C5" s="2" t="s">
        <v>162</v>
      </c>
    </row>
    <row r="6" spans="1:3" x14ac:dyDescent="0.6">
      <c r="A6" s="2" t="s">
        <v>163</v>
      </c>
      <c r="B6" s="5">
        <v>3</v>
      </c>
      <c r="C6" s="2" t="s">
        <v>164</v>
      </c>
    </row>
    <row r="7" spans="1:3" x14ac:dyDescent="0.6">
      <c r="A7" s="2" t="s">
        <v>107</v>
      </c>
      <c r="B7" s="5">
        <v>5</v>
      </c>
      <c r="C7" s="2" t="s">
        <v>165</v>
      </c>
    </row>
    <row r="8" spans="1:3" x14ac:dyDescent="0.6">
      <c r="A8" s="2" t="s">
        <v>109</v>
      </c>
      <c r="B8" s="5">
        <v>5</v>
      </c>
      <c r="C8" s="2" t="s">
        <v>166</v>
      </c>
    </row>
    <row r="9" spans="1:3" x14ac:dyDescent="0.6">
      <c r="A9" s="2" t="s">
        <v>108</v>
      </c>
      <c r="B9" s="5">
        <v>3</v>
      </c>
      <c r="C9" s="2" t="s">
        <v>167</v>
      </c>
    </row>
    <row r="10" spans="1:3" x14ac:dyDescent="0.6">
      <c r="A10" s="2" t="s">
        <v>168</v>
      </c>
      <c r="B10" s="5" t="s">
        <v>169</v>
      </c>
      <c r="C10" s="2" t="s">
        <v>170</v>
      </c>
    </row>
    <row r="11" spans="1:3" x14ac:dyDescent="0.6">
      <c r="A11" s="2" t="s">
        <v>171</v>
      </c>
      <c r="B11" s="5" t="s">
        <v>172</v>
      </c>
      <c r="C11" s="2" t="s">
        <v>173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AttackCard</vt:lpstr>
      <vt:lpstr>BuffCard</vt:lpstr>
      <vt:lpstr>EffectCode</vt:lpstr>
      <vt:lpstr>Probability</vt:lpstr>
      <vt:lpstr>GameConfig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Hyungjoon Joo</dc:creator>
  <cp:lastModifiedBy>Hyungjoon Joo</cp:lastModifiedBy>
  <dcterms:created xsi:type="dcterms:W3CDTF">2026-06-03T08:32:01Z</dcterms:created>
  <dcterms:modified xsi:type="dcterms:W3CDTF">2026-06-04T20:06:04Z</dcterms:modified>
</cp:coreProperties>
</file>